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ira\OneDrive\Desktop\"/>
    </mc:Choice>
  </mc:AlternateContent>
  <xr:revisionPtr revIDLastSave="0" documentId="13_ncr:1_{E42CF97E-FE22-4AED-AE3B-C9A0C25390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NNING_RAW" sheetId="2" r:id="rId1"/>
    <sheet name="SOLD" sheetId="7" state="hidden" r:id="rId2"/>
    <sheet name="SKU_MAPPING" sheetId="11" state="hidden" r:id="rId3"/>
    <sheet name="SETTINGS" sheetId="12" state="hidden" r:id="rId4"/>
    <sheet name="MANIFEST_LOG" sheetId="13" state="hidden" r:id="rId5"/>
  </sheets>
  <definedNames>
    <definedName name="A14_">#REF!</definedName>
    <definedName name="A15_">#REF!</definedName>
    <definedName name="A16_">#REF!</definedName>
    <definedName name="A25_">#REF!</definedName>
    <definedName name="A54_">#REF!</definedName>
    <definedName name="BBB100_1KEYONE">#REF!</definedName>
    <definedName name="BBD100_2MOTION">#REF!</definedName>
    <definedName name="BBE100_2Key2LE">#REF!</definedName>
    <definedName name="BBF100_2KEY2">#REF!</definedName>
    <definedName name="iphone11">#REF!</definedName>
    <definedName name="iphone12">#REF!</definedName>
    <definedName name="iphone12mini">#REF!</definedName>
    <definedName name="iphone12PRO">#REF!</definedName>
    <definedName name="iphone13">#REF!</definedName>
    <definedName name="iphone13Mini">#REF!</definedName>
    <definedName name="iphone13PRO">#REF!</definedName>
    <definedName name="iphone13ProMax">#REF!</definedName>
    <definedName name="iphone14">#REF!</definedName>
    <definedName name="iphone14Plus">#REF!</definedName>
    <definedName name="iphone14Pro">#REF!</definedName>
    <definedName name="iphone14ProMax">#REF!</definedName>
    <definedName name="iphone15">#REF!</definedName>
    <definedName name="iphone15Plus">#REF!</definedName>
    <definedName name="iphone15Pro">#REF!</definedName>
    <definedName name="iphone15ProMax">#REF!</definedName>
    <definedName name="iphone16">#REF!</definedName>
    <definedName name="iphone16Plus">#REF!</definedName>
    <definedName name="iphone16Pro">#REF!</definedName>
    <definedName name="iphone16ProMax">#REF!</definedName>
    <definedName name="iphoneSE2">#REF!</definedName>
    <definedName name="iphoneSE3">#REF!</definedName>
    <definedName name="iphoneXR">#REF!</definedName>
    <definedName name="MotoEdge">#REF!</definedName>
    <definedName name="PIXEL6">#REF!</definedName>
    <definedName name="PIXEL6a">#REF!</definedName>
    <definedName name="PIXEL7">#REF!</definedName>
    <definedName name="PIXEL7Pro">#REF!</definedName>
    <definedName name="PIXEL9">#REF!</definedName>
    <definedName name="S20_">#REF!</definedName>
    <definedName name="S20FE">#REF!</definedName>
    <definedName name="S20Plus">#REF!</definedName>
    <definedName name="S20Ultra">#REF!</definedName>
    <definedName name="S21_">#REF!</definedName>
    <definedName name="S21FE">#REF!</definedName>
    <definedName name="S21Plus">#REF!</definedName>
    <definedName name="S21Ultra">#REF!</definedName>
    <definedName name="S22_">#REF!</definedName>
    <definedName name="S22Plus">#REF!</definedName>
    <definedName name="S22Ultra">#REF!</definedName>
    <definedName name="S23_">#REF!</definedName>
    <definedName name="S23Plus">#REF!</definedName>
    <definedName name="S23Ultra">#REF!</definedName>
    <definedName name="S24_">#REF!</definedName>
    <definedName name="S24Plus">#REF!</definedName>
    <definedName name="S24Ultra">#REF!</definedName>
    <definedName name="S25_">#REF!</definedName>
    <definedName name="S25Plus">#REF!</definedName>
    <definedName name="S25Ultra">#REF!</definedName>
    <definedName name="ZFlip4">#REF!</definedName>
    <definedName name="ZFlip5">#REF!</definedName>
    <definedName name="ZFlip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4" i="2" l="1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<sst xmlns="http://schemas.openxmlformats.org/spreadsheetml/2006/main" count="488" uniqueCount="372">
  <si>
    <t>MODEL</t>
  </si>
  <si>
    <t>STORAGE</t>
  </si>
  <si>
    <t>COLOR</t>
  </si>
  <si>
    <t>GRADE</t>
  </si>
  <si>
    <t>COST</t>
  </si>
  <si>
    <t>sku</t>
  </si>
  <si>
    <t>PRICE</t>
  </si>
  <si>
    <t>DISCOUNT-PRICE</t>
  </si>
  <si>
    <t>discount-start-date</t>
  </si>
  <si>
    <t>discount-end-date</t>
  </si>
  <si>
    <t>quantity</t>
  </si>
  <si>
    <t>UPC Code</t>
  </si>
  <si>
    <t>SKU Title</t>
  </si>
  <si>
    <t>Winning Offer</t>
  </si>
  <si>
    <t>Winner's Price</t>
  </si>
  <si>
    <t>Winner's Shipping Price</t>
  </si>
  <si>
    <t>Difference</t>
  </si>
  <si>
    <t>16553835</t>
  </si>
  <si>
    <t>999003892173</t>
  </si>
  <si>
    <t>Refurbished (Good) - Apple iPhone 14 Plus 128GB - Midnight - Unlocked</t>
  </si>
  <si>
    <t>N</t>
  </si>
  <si>
    <t>16553829</t>
  </si>
  <si>
    <t>999003892562</t>
  </si>
  <si>
    <t>Refurbished (Good) - Apple iPhone 14 Pro 128GB - Gold - Unlocked</t>
  </si>
  <si>
    <t>17210144</t>
  </si>
  <si>
    <t>999004075650</t>
  </si>
  <si>
    <t>Refurbished (Excellent) - Silver Macbook Pro 15.4" Retina 2019 CTO MV952LL/A 2.4GHz Core i9 32GB 512GB</t>
  </si>
  <si>
    <t>16553856</t>
  </si>
  <si>
    <t>999003892036</t>
  </si>
  <si>
    <t>Refurbished (Excellent) - Apple iPhone 14 Pro 128GB - Deep Purple - Unlocked</t>
  </si>
  <si>
    <t>16553826</t>
  </si>
  <si>
    <t>999003892388</t>
  </si>
  <si>
    <t>Refurbished (Good) - Apple iPhone 14 128GB - (PRODUCT)RED - Unlocked</t>
  </si>
  <si>
    <t>16553637</t>
  </si>
  <si>
    <t>999003892968</t>
  </si>
  <si>
    <t>Refurbished (Excellent) - Apple iPhone 14 Pro 256GB - Gold - Unlocked</t>
  </si>
  <si>
    <t>16708998</t>
  </si>
  <si>
    <t>999003912314</t>
  </si>
  <si>
    <t>Refurbished (Excellent) - Samsung Galaxy S23 Ultra 256GB - Phantom Black - Unlocked</t>
  </si>
  <si>
    <t>16553748</t>
  </si>
  <si>
    <t>999003892753</t>
  </si>
  <si>
    <t>Refurbished (Excellent) - Apple iPhone 14 Plus 128GB - (PRODUCT)RED - Unlocked</t>
  </si>
  <si>
    <t>16485335</t>
  </si>
  <si>
    <t>6931474727718</t>
  </si>
  <si>
    <t>Hoco Z36 Leader Dual USB Port Single Car Charger 2.4A Black</t>
  </si>
  <si>
    <t>16485334</t>
  </si>
  <si>
    <t>6931474727725</t>
  </si>
  <si>
    <t>Hoco Z36 Leader Dual USB Port Single Car Charger 2.4A White</t>
  </si>
  <si>
    <t>18846176</t>
  </si>
  <si>
    <t>6931474795748</t>
  </si>
  <si>
    <t>Hoco Power bank “J111 Smart charge” 10000mAh</t>
  </si>
  <si>
    <t>18626206</t>
  </si>
  <si>
    <t>659821571475</t>
  </si>
  <si>
    <t>Hoco U107 Type-C Male to Type-C Female Extension Cable</t>
  </si>
  <si>
    <t>18626217</t>
  </si>
  <si>
    <t>659821835805</t>
  </si>
  <si>
    <t>Hoco U107 Type-C Male to iPhone Lightning Female Adapter Cable</t>
  </si>
  <si>
    <t>18626144</t>
  </si>
  <si>
    <t>659821536429</t>
  </si>
  <si>
    <t>Hoco UA17 Type C Adapter Usb3.0 Converter</t>
  </si>
  <si>
    <t>18619611</t>
  </si>
  <si>
    <t>659821953691</t>
  </si>
  <si>
    <t>Hoco Ew28 Magic Sound True Wireless Bluetooth Gaming Headset in-Ear Tws Earphone - Black</t>
  </si>
  <si>
    <t>16683498</t>
  </si>
  <si>
    <t>6931474761361</t>
  </si>
  <si>
    <t>Hoco Smart Alignment Wireless Charging Car Holder (S35)</t>
  </si>
  <si>
    <t>17556432</t>
  </si>
  <si>
    <t>804859937988</t>
  </si>
  <si>
    <t>HOCO Plus AC Vent Car Mount for Cell Phone (CA56) Armor Metal Gravity Car Holder for Air Outlet</t>
  </si>
  <si>
    <t>18167350</t>
  </si>
  <si>
    <t>6931474721693</t>
  </si>
  <si>
    <t>Hoco CA61 In-Car Magnetic Holder Black</t>
  </si>
  <si>
    <t>16497012</t>
  </si>
  <si>
    <t>6931474739742</t>
  </si>
  <si>
    <t>Hoco S28 Dawn Folding Desktop Mobile Phone Black Stand</t>
  </si>
  <si>
    <t>16479973</t>
  </si>
  <si>
    <t>6931474745767</t>
  </si>
  <si>
    <t>Hoco CA82 Anti-Shake and Stable In-Car Black Phone Holder for 4.5-6.5"</t>
  </si>
  <si>
    <t>16462244</t>
  </si>
  <si>
    <t>6957531068907</t>
  </si>
  <si>
    <t>Hoco X20 Type-C Cable 3A Exotic Radiance 2M Flash Charging Cable</t>
  </si>
  <si>
    <t>16484788</t>
  </si>
  <si>
    <t>6957531064121</t>
  </si>
  <si>
    <t>Hoco UA5 Type-C to USB Converter Charging and Data Transfer</t>
  </si>
  <si>
    <t>16485296</t>
  </si>
  <si>
    <t>6957531064138</t>
  </si>
  <si>
    <t>Hoco UA6 USB to Type-C Converter Charging and Data Transfer with Aluminum Alloy Shell</t>
  </si>
  <si>
    <t>16485313</t>
  </si>
  <si>
    <t>6931474739650</t>
  </si>
  <si>
    <t>Hoco Z40 Superior Dual Port Car Charger 2.4A Black Single</t>
  </si>
  <si>
    <t>16459928</t>
  </si>
  <si>
    <t>6931474735546</t>
  </si>
  <si>
    <t>Hoco X52 Magnetic Charging Cable 360 degrees arbitrary absorption Charging For Type-C</t>
  </si>
  <si>
    <t>16458253</t>
  </si>
  <si>
    <t>6931474708816</t>
  </si>
  <si>
    <t>Hoco X36 Swift Type-C Lightning Charger Data Cable 1M 3 Amps</t>
  </si>
  <si>
    <t>16456875</t>
  </si>
  <si>
    <t>6931474767417</t>
  </si>
  <si>
    <t>Hoco X76 Charging Cable 2x Lightning/Type C/Micro-USB 3.2 ft</t>
  </si>
  <si>
    <t>16456854</t>
  </si>
  <si>
    <t>6957531068945</t>
  </si>
  <si>
    <t>Hoco X20 Micro Cable Desert Camel 3M Flash Micro Charging Cable</t>
  </si>
  <si>
    <t>16456853</t>
  </si>
  <si>
    <t>6931474767424</t>
  </si>
  <si>
    <t>Hoco X76 Type-C 2+iP+Micro 4 in 1 Strong and Durable Charging Cable 3.2 ft</t>
  </si>
  <si>
    <t>15130404</t>
  </si>
  <si>
    <t>780456962670</t>
  </si>
  <si>
    <t>20 W USB-C Power Adapter, Fast Charger</t>
  </si>
  <si>
    <t>17733135</t>
  </si>
  <si>
    <t>999004201547</t>
  </si>
  <si>
    <t>Open Box - Samsung Galaxy S23 FE 128GB - Graphite - Unlocked</t>
  </si>
  <si>
    <t>19285536</t>
  </si>
  <si>
    <t>6942007601863</t>
  </si>
  <si>
    <t>Hoco J114A 20,000mAh Ultra-Slim Power Bank with Built-in Cables and Digital Display</t>
  </si>
  <si>
    <t>17744557</t>
  </si>
  <si>
    <t>999004209482</t>
  </si>
  <si>
    <t>Refurbished(Good) - Apple MacBook Pro 2019, 13" Retina Display with touch bar, Intel Core i7-8569U CPU @ 2.80GHz, 16GB RAM, 500GB NVME, MacOS</t>
  </si>
  <si>
    <t>17732900</t>
  </si>
  <si>
    <t>999004196843</t>
  </si>
  <si>
    <t>Refurbished (Fair) - Samsung Galaxy S21 FE 5G 128GB - Graphite - Unlocked</t>
  </si>
  <si>
    <t>16708992</t>
  </si>
  <si>
    <t>999003912307</t>
  </si>
  <si>
    <t>Refurbished (Good) - Samsung Galaxy S23 Ultra 256GB - Phantom Black - Unlocked</t>
  </si>
  <si>
    <t>16709041</t>
  </si>
  <si>
    <t>999003912369</t>
  </si>
  <si>
    <t>Refurbished (Good) - Samsung Galaxy S23 Ultra 256GB - Green - Unlocked</t>
  </si>
  <si>
    <t>16553733</t>
  </si>
  <si>
    <t>999003892395</t>
  </si>
  <si>
    <t>Refurbished (Excellent) - Apple iPhone 14 128GB - (PRODUCT)RED - Unlocked</t>
  </si>
  <si>
    <t>16553804</t>
  </si>
  <si>
    <t>999003892661</t>
  </si>
  <si>
    <t>Refurbished (Excellent) - Apple iPhone 14 128GB - Purple - Unlocked</t>
  </si>
  <si>
    <t>16299425</t>
  </si>
  <si>
    <t>999003639785</t>
  </si>
  <si>
    <t>Open Box - Apple iPhone 13 Pro Max 128GB - Alpine Green - Unlocked</t>
  </si>
  <si>
    <t>19254133</t>
  </si>
  <si>
    <t>999004445699</t>
  </si>
  <si>
    <t>Open Box - Samsung Galaxy A16 5G 128GB - Blue Black - Unlocked</t>
  </si>
  <si>
    <t>17146298</t>
  </si>
  <si>
    <t>999003995560</t>
  </si>
  <si>
    <t>Open Box - Motorola Edge (2022) 256GB - Mineral Gray - Unlocked</t>
  </si>
  <si>
    <t>17943257</t>
  </si>
  <si>
    <t>999004229169</t>
  </si>
  <si>
    <t>Open Box - Samsung Galaxy A35 5G 128GB - Awesome Navy - Unlocked</t>
  </si>
  <si>
    <t>16709003</t>
  </si>
  <si>
    <t>999003912642</t>
  </si>
  <si>
    <t>Refurbished (Excellent) - Samsung Galaxy S23 256GB - Lavender - Unlocked</t>
  </si>
  <si>
    <t>18439337</t>
  </si>
  <si>
    <t>784300087120</t>
  </si>
  <si>
    <t>Brand New - Google Pixel 7a 128GB - Charcoal - Unlocked</t>
  </si>
  <si>
    <t>17664792</t>
  </si>
  <si>
    <t>842776101419</t>
  </si>
  <si>
    <t>Brand New - Google Pixel 8 128GB - Obsidian - Unlocked</t>
  </si>
  <si>
    <t>18247075</t>
  </si>
  <si>
    <t>784300087151</t>
  </si>
  <si>
    <t>Brand New - Google Pixel 8 Pro 128GB - Porcelain - Unlocked</t>
  </si>
  <si>
    <t>19218297</t>
  </si>
  <si>
    <t>999004468391</t>
  </si>
  <si>
    <t>Brand New - Google Pixel 7a 128GB - Sea - Unlocked</t>
  </si>
  <si>
    <t>19183118</t>
  </si>
  <si>
    <t>999004455803</t>
  </si>
  <si>
    <t>Open Box - Samsung Galaxy S25 128GB - Silver Shadow - Unlocked</t>
  </si>
  <si>
    <t>16553728</t>
  </si>
  <si>
    <t>999003892937</t>
  </si>
  <si>
    <t>Refurbished (Excellent) - Apple iPhone 14 Pro 256GB - Space Black - Unlocked</t>
  </si>
  <si>
    <t>16553870</t>
  </si>
  <si>
    <t>999003892579</t>
  </si>
  <si>
    <t>Refurbished (Excellent) - Apple iPhone 14 Pro 128GB - Gold - Unlocked</t>
  </si>
  <si>
    <t>17733144</t>
  </si>
  <si>
    <t>999004199561</t>
  </si>
  <si>
    <t>Refurbished (Excellent) - Samsung Galaxy S21 FE 5G 128GB - Graphite - Unlocked</t>
  </si>
  <si>
    <t>17733145</t>
  </si>
  <si>
    <t>999004201202</t>
  </si>
  <si>
    <t>Open Box - Samsung Galaxy Z Flip5 256GB - Mint - Unlocked</t>
  </si>
  <si>
    <t>16709018</t>
  </si>
  <si>
    <t>999003912222</t>
  </si>
  <si>
    <t>Refurbished (Excellent) - Samsung Galaxy S23 Ultra 512GB - Lavender - Unlocked</t>
  </si>
  <si>
    <t>16553824</t>
  </si>
  <si>
    <t>999003891558</t>
  </si>
  <si>
    <t>Refurbished (Excellent) - Apple iPhone 14 Pro 128GB - Silver - Unlocked</t>
  </si>
  <si>
    <t>Y</t>
  </si>
  <si>
    <t>18924741</t>
  </si>
  <si>
    <t>999004394843</t>
  </si>
  <si>
    <t>Refurbished (Excellent) - Macbook Pro 15" w/ TouchBar 2018 (Intel Core i7 32GB 512GB) - Silver</t>
  </si>
  <si>
    <t>15921769</t>
  </si>
  <si>
    <t>999003559304</t>
  </si>
  <si>
    <t>Open Box - Apple iPhone 13 128GB - Midnight - Unlocked</t>
  </si>
  <si>
    <t>16709040</t>
  </si>
  <si>
    <t>999003912192</t>
  </si>
  <si>
    <t>Refurbished (Excellent) - Samsung Galaxy S23 Ultra 512GB - Phantom Black - Unlocked</t>
  </si>
  <si>
    <t>18249800</t>
  </si>
  <si>
    <t>794969090454</t>
  </si>
  <si>
    <t>Open Box - Google Pixel 6a 128GB - Charcoal - Unlocked</t>
  </si>
  <si>
    <t>19262412</t>
  </si>
  <si>
    <t>999004395000</t>
  </si>
  <si>
    <t>Apple iPhone 12 64GB - Factory Unlocked Smartphone - Black - Open Box (95% + Battery health)</t>
  </si>
  <si>
    <t>16563164</t>
  </si>
  <si>
    <t>6931474714725</t>
  </si>
  <si>
    <t>L7 Plus Original series wireless earphones</t>
  </si>
  <si>
    <t>19262508</t>
  </si>
  <si>
    <t>6942007642262</t>
  </si>
  <si>
    <t>Hoco HC29 Halo Sports Bluetooth Speaker – 15W, Portable Wireless Speaker</t>
  </si>
  <si>
    <t>19262616</t>
  </si>
  <si>
    <t>6942007614399</t>
  </si>
  <si>
    <t>Hoco Z49B Level Dual Port 38W Car Charger – USB-C PD 20W &amp; USB-A QC 18W Fast Charging Adapter</t>
  </si>
  <si>
    <t>16553806</t>
  </si>
  <si>
    <t>999003892548</t>
  </si>
  <si>
    <t>Refurbished (Excellent) - Apple iPhone 14 Plus 128GB - Purple - Unlocked</t>
  </si>
  <si>
    <t>17732884</t>
  </si>
  <si>
    <t>999004201004</t>
  </si>
  <si>
    <t>Open Box - Google Pixel 7 128GB - Obsidian - Unlocked</t>
  </si>
  <si>
    <t>16553803</t>
  </si>
  <si>
    <t>999003893712</t>
  </si>
  <si>
    <t>Open Box - Apple iPhone 14 Plus 128GB - (PRODUCT)RED - Unlocked</t>
  </si>
  <si>
    <t>19280972</t>
  </si>
  <si>
    <t>6931474795007</t>
  </si>
  <si>
    <t>Hoco Z48 40W Dual Port USB-C Car Charger</t>
  </si>
  <si>
    <t>17940737</t>
  </si>
  <si>
    <t>6931474735799</t>
  </si>
  <si>
    <t>Hoco W30 Strong Bass Wireless Headphones</t>
  </si>
  <si>
    <t>19281013</t>
  </si>
  <si>
    <t>6931474770332</t>
  </si>
  <si>
    <t>Hoco Z46A Blue Whale Car Charger with PD20W and QC3.0 Fast Charging</t>
  </si>
  <si>
    <t>16553695</t>
  </si>
  <si>
    <t>999003892142</t>
  </si>
  <si>
    <t>Refurbished (Good) - Apple iPhone 14 256GB - (PRODUCT)RED - Unlocked</t>
  </si>
  <si>
    <t>19293505</t>
  </si>
  <si>
    <t>769165442208</t>
  </si>
  <si>
    <t>Refurbished (Excellent) - Samsung Galaxy S22 Ultra 5G - 256GB - Burgundy - Unlocked</t>
  </si>
  <si>
    <t>17755645</t>
  </si>
  <si>
    <t>999004209710</t>
  </si>
  <si>
    <t>Refurbished(Good) - Apple MacBook Pro 2018, 13" Retina Display, Intel i7-8559U @ 2.7GHz, 16GB RAM, 500GB SSD - MacOs - minor scratches</t>
  </si>
  <si>
    <t>17697972</t>
  </si>
  <si>
    <t>783078534140</t>
  </si>
  <si>
    <t>Refurbished (Good)- Apple MacBook Pro 13 (2020), Silver, 13.3" Retina Display, Intel Core i7-1068NG7, 16GB, 512GB SSD - Model # A2251</t>
  </si>
  <si>
    <t>14293841</t>
  </si>
  <si>
    <t>688168509001</t>
  </si>
  <si>
    <t>Refurbished (Excellent) - Blackberry MOTION 32GB Black Unlocked BBD100-2 Smartphone-Certified Refurbished</t>
  </si>
  <si>
    <t>19180277</t>
  </si>
  <si>
    <t>400064443896</t>
  </si>
  <si>
    <t>Apple Watch Series 10 (GPS) 46mm Jet Black Aluminum Case with Black Sport Band - Brand New</t>
  </si>
  <si>
    <t>13454201</t>
  </si>
  <si>
    <t>999002486663</t>
  </si>
  <si>
    <t>Refurbished (Excellent) - BlackBerry Key2 64GB Smartphone - Black - Unlocked</t>
  </si>
  <si>
    <t>16146533</t>
  </si>
  <si>
    <t>999003406608</t>
  </si>
  <si>
    <t>Blackberry Key 2 64GB (BBF100-2) - GSM Unlocked Smartphone - Black - International Model - Open Box</t>
  </si>
  <si>
    <t>15375024</t>
  </si>
  <si>
    <t>999003294564</t>
  </si>
  <si>
    <t>Refurbished (Excellent) - Samsung Galaxy S20 FE 5G 128GB - Cloud Navy - Unlocked</t>
  </si>
  <si>
    <t>13456154</t>
  </si>
  <si>
    <t>889063502931</t>
  </si>
  <si>
    <t>BlackBerry Key2 64GB Unlocked Open Box</t>
  </si>
  <si>
    <t>16149760</t>
  </si>
  <si>
    <t>999003404109</t>
  </si>
  <si>
    <t>Refurbished (Excellent) - Blackberry Key 2 64GB (BBF100-2) - GSM Unlocked Smartphone - Black - International Model - Certified Refurbished</t>
  </si>
  <si>
    <t>15438170</t>
  </si>
  <si>
    <t>999003053048</t>
  </si>
  <si>
    <t>Refurbished (Excellent) - BlackBerry KEY2 Black Unlocked Android Smartphone BBF100-2 4G LTE, 64GB [Certified Refurbished]</t>
  </si>
  <si>
    <t>13612571</t>
  </si>
  <si>
    <t>999002503537</t>
  </si>
  <si>
    <t>Refurbished (Excellent) - BlackBerry KeyOne Unlocked Cellphone in Black [Certified Refurbished]</t>
  </si>
  <si>
    <t>13024537</t>
  </si>
  <si>
    <t>629018145277</t>
  </si>
  <si>
    <t>Refurbished (Good) - Alcatel A30 4G LTE GSM Cellular Wireless Android Tablet 90240 Unlocked</t>
  </si>
  <si>
    <t>13041460</t>
  </si>
  <si>
    <t>999002303106</t>
  </si>
  <si>
    <t>Refurbished (Good) - Alcatel A30 9024O 16GB 8" Wi-Fi + SIM Unlocked Android Tablet-Black</t>
  </si>
  <si>
    <t>16433186</t>
  </si>
  <si>
    <t>999003644031</t>
  </si>
  <si>
    <t>Open Box - Samsung Galaxy S22+ (Plus) 5G 128GB - Pink Gold - Unlocked</t>
  </si>
  <si>
    <t>16157444</t>
  </si>
  <si>
    <t>999003674953</t>
  </si>
  <si>
    <t>Open Box - Samsung Galaxy S22+ (Plus) 5G 128GB - Phantom Black - Unlocked</t>
  </si>
  <si>
    <t>16433190</t>
  </si>
  <si>
    <t>999003643720</t>
  </si>
  <si>
    <t>Open Box - Samsung Galaxy S22+ (Plus) 5G 128GB - Phantom White - Unlocked</t>
  </si>
  <si>
    <t>18594558</t>
  </si>
  <si>
    <t>999004416057</t>
  </si>
  <si>
    <t>Open Box - Apple iPhone 16 512GB - White - Unlocked</t>
  </si>
  <si>
    <t>18594545</t>
  </si>
  <si>
    <t>999004416019</t>
  </si>
  <si>
    <t>Open Box - Apple iPhone 16 512GB - Black - Unlocked</t>
  </si>
  <si>
    <t>19183079</t>
  </si>
  <si>
    <t>999004455681</t>
  </si>
  <si>
    <t>Open Box - Samsung Galaxy S25 128GB - Mint - Unlocked</t>
  </si>
  <si>
    <t>17733164</t>
  </si>
  <si>
    <t>999004199868</t>
  </si>
  <si>
    <t>Refurbished (Excellent) - Samsung Galaxy Z Flip5 512GB - Graphite - Unlocked</t>
  </si>
  <si>
    <t>17312397</t>
  </si>
  <si>
    <t>999004071959</t>
  </si>
  <si>
    <t>Refurbished (Excellent) - Apple iPhone 14 Plus 128GB - Yellow - Unlocked</t>
  </si>
  <si>
    <t>16553694</t>
  </si>
  <si>
    <t>999003892906</t>
  </si>
  <si>
    <t>Refurbished (Excellent) - Apple iPhone 14 Plus 256GB - Purple - Unlocked</t>
  </si>
  <si>
    <t>16708979</t>
  </si>
  <si>
    <t>999003912437</t>
  </si>
  <si>
    <t>Refurbished (Excellent) - Samsung Galaxy S23 128GB - Lavender - Unlocked</t>
  </si>
  <si>
    <t>16709007</t>
  </si>
  <si>
    <t>999003912819</t>
  </si>
  <si>
    <t>Open Box - Samsung Galaxy S23 128GB - Lavender - Unlocked</t>
  </si>
  <si>
    <t>15923254</t>
  </si>
  <si>
    <t>999003559618</t>
  </si>
  <si>
    <t>Refurbished (Good) - iPhone 13 Pro Max 128GB - Graphite - Unlocked</t>
  </si>
  <si>
    <t>17733129</t>
  </si>
  <si>
    <t>999004198281</t>
  </si>
  <si>
    <t>Refurbished (Good) - Google Pixel 7 128GB - Obsidian - Unlocked</t>
  </si>
  <si>
    <t>17119070</t>
  </si>
  <si>
    <t>999004018619</t>
  </si>
  <si>
    <t>Open Box - Apple iPhone 14 128GB - Yellow - Unlocked</t>
  </si>
  <si>
    <t>16553760</t>
  </si>
  <si>
    <t>999003892449</t>
  </si>
  <si>
    <t>Refurbished (Good) - Apple iPhone 14 256GB - Starlight - Unlocked</t>
  </si>
  <si>
    <t>17302862</t>
  </si>
  <si>
    <t>999004071911</t>
  </si>
  <si>
    <t>Refurbished (Good) - Apple iPhone 14 Plus 128GB - Yellow - Unlocked</t>
  </si>
  <si>
    <t>17373528</t>
  </si>
  <si>
    <t>999004091841</t>
  </si>
  <si>
    <t>Open Box - Apple iPhone 14 Plus 128GB - Yellow - Unlocked</t>
  </si>
  <si>
    <t>16553813</t>
  </si>
  <si>
    <t>999003893767</t>
  </si>
  <si>
    <t>Open Box - Apple iPhone 14 Plus 256GB - Purple - Unlocked</t>
  </si>
  <si>
    <t>17462281</t>
  </si>
  <si>
    <t>999004167522</t>
  </si>
  <si>
    <t>Open Box - Apple iPhone 15 Plus 128GB - Green - Unlocked</t>
  </si>
  <si>
    <t>17733126</t>
  </si>
  <si>
    <t>999004201448</t>
  </si>
  <si>
    <t>Open Box - Google Pixel 8 Pro 128GB - Porcelain - Unlocked</t>
  </si>
  <si>
    <t>15921745</t>
  </si>
  <si>
    <t>999003559342</t>
  </si>
  <si>
    <t>Open Box - Apple iPhone 13 Pro 128GB - Silver - Unlocked</t>
  </si>
  <si>
    <t>16709020</t>
  </si>
  <si>
    <t>999003912253</t>
  </si>
  <si>
    <t>Refurbished (Excellent) - Samsung Galaxy S23 Ultra 512GB - Green - Unlocked</t>
  </si>
  <si>
    <t>17929493</t>
  </si>
  <si>
    <t>814561013061</t>
  </si>
  <si>
    <t>Brand New - Samsung Galaxy Tab A9 8.7” inch WiFi Tablet | 64 GB 4GB RAM (2023) - Graphite</t>
  </si>
  <si>
    <t>18904770</t>
  </si>
  <si>
    <t>614347155677</t>
  </si>
  <si>
    <t>Open Box Samsung Galaxy Tab A9 8.7” inch WiFi Tablet | 64 GB 4GB RAM (2023) - Graphite</t>
  </si>
  <si>
    <t>15922537</t>
  </si>
  <si>
    <t>999003559717</t>
  </si>
  <si>
    <t>Refurbished (Good) - Apple iPhone 13 128GB - (PRODUCT)RED - Unlocked</t>
  </si>
  <si>
    <t>17938762</t>
  </si>
  <si>
    <t>999004228667</t>
  </si>
  <si>
    <t>Refurbished (Excellent) - TCL 502 32GB - Black</t>
  </si>
  <si>
    <t>17733123</t>
  </si>
  <si>
    <t>999004201196</t>
  </si>
  <si>
    <t>Open Box - Samsung Galaxy Z Flip5 256GB - Graphite - Unlocked</t>
  </si>
  <si>
    <t>16709002</t>
  </si>
  <si>
    <t>999003912284</t>
  </si>
  <si>
    <t>Refurbished (Excellent) - Samsung Galaxy S23 Ultra 512GB - Cream - Unlocked</t>
  </si>
  <si>
    <t>16553809</t>
  </si>
  <si>
    <t>999003891886</t>
  </si>
  <si>
    <t>Refurbished (Excellent) - Apple iPhone 14 512GB - Purple - Unlocked</t>
  </si>
  <si>
    <t>19333873</t>
  </si>
  <si>
    <t>4894461987453</t>
  </si>
  <si>
    <t>TCL 501 - 32GB (Unlocked) - 6.0" Display - Android Smartphone - Black</t>
  </si>
  <si>
    <t>DATE</t>
  </si>
  <si>
    <t>IMEI</t>
  </si>
  <si>
    <t>ORDER #</t>
  </si>
  <si>
    <t>SKU CODE</t>
  </si>
  <si>
    <t>REASON</t>
  </si>
  <si>
    <t>Key</t>
  </si>
  <si>
    <t>Value</t>
  </si>
  <si>
    <t>PDF_FOLDER_ID</t>
  </si>
  <si>
    <t>LAST_BATCH_DATE</t>
  </si>
  <si>
    <t>LAST_BATCH_INDEX</t>
  </si>
  <si>
    <t>MANIFEST ID</t>
  </si>
  <si>
    <t>TIMESTAMP</t>
  </si>
  <si>
    <t>TYPE</t>
  </si>
  <si>
    <t>DATA BACKUP (JSON or Range 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</si>
</sst>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12"/>
      <color rgb="FFD21404"/>
      <name val="Calibri"/>
    </font>
    <font>
      <b/>
      <sz val="12"/>
      <color theme="1"/>
      <name val="Calibri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  <fill>
      <patternFill patternType="solid">
        <fgColor rgb="FF696969"/>
        <bgColor rgb="FF696969"/>
      </patternFill>
    </fill>
    <fill>
      <patternFill patternType="solid">
        <fgColor rgb="FFFFCCCB"/>
        <bgColor rgb="FFFFCCC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0" xfId="0" applyFont="1"/>
    <xf numFmtId="7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4" borderId="1" xfId="0" applyFont="1" applyFill="1" applyBorder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14"/>
  <sheetViews>
    <sheetView tabSelected="1" workbookViewId="0">
      <selection activeCell="B6" sqref="B6"/>
    </sheetView>
  </sheetViews>
  <sheetFormatPr defaultColWidth="12.6640625" defaultRowHeight="15.75" customHeight="1" x14ac:dyDescent="0.25"/>
  <cols>
    <col min="4" max="4" width="23" customWidth="1"/>
    <col min="5" max="5" width="21.109375" customWidth="1"/>
    <col min="11" max="11" width="19.33203125" customWidth="1"/>
  </cols>
  <sheetData>
    <row r="1" spans="1:12" ht="15.75" customHeight="1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</row>
    <row r="2" spans="1:12" ht="15.75" customHeight="1" x14ac:dyDescent="0.3">
      <c r="A2" s="4" t="s">
        <v>17</v>
      </c>
      <c r="B2" s="5">
        <v>799.99</v>
      </c>
      <c r="C2" s="5">
        <v>539.99</v>
      </c>
      <c r="D2" s="4"/>
      <c r="E2" s="4"/>
      <c r="F2" s="6">
        <v>2</v>
      </c>
      <c r="G2" s="4" t="s">
        <v>18</v>
      </c>
      <c r="H2" s="4" t="s">
        <v>19</v>
      </c>
      <c r="I2" s="7" t="s">
        <v>20</v>
      </c>
      <c r="J2" s="5">
        <v>489</v>
      </c>
      <c r="K2" s="5">
        <v>0</v>
      </c>
      <c r="L2" s="5">
        <f t="shared" ref="L2:L114" si="0">IF(OR(ISBLANK(C2), C2=0), B2, C2) - SUM(J2,K2)</f>
        <v>50.990000000000009</v>
      </c>
    </row>
    <row r="3" spans="1:12" ht="15.75" customHeight="1" x14ac:dyDescent="0.3">
      <c r="A3" s="4" t="s">
        <v>21</v>
      </c>
      <c r="B3" s="5">
        <v>689.98</v>
      </c>
      <c r="C3" s="4"/>
      <c r="D3" s="4"/>
      <c r="E3" s="4"/>
      <c r="F3" s="6">
        <v>1</v>
      </c>
      <c r="G3" s="4" t="s">
        <v>22</v>
      </c>
      <c r="H3" s="4" t="s">
        <v>23</v>
      </c>
      <c r="I3" s="7" t="s">
        <v>20</v>
      </c>
      <c r="J3" s="5">
        <v>599.96</v>
      </c>
      <c r="K3" s="5">
        <v>0</v>
      </c>
      <c r="L3" s="5">
        <f t="shared" si="0"/>
        <v>90.019999999999982</v>
      </c>
    </row>
    <row r="4" spans="1:12" ht="15.75" customHeight="1" x14ac:dyDescent="0.3">
      <c r="A4" s="4" t="s">
        <v>24</v>
      </c>
      <c r="B4" s="5">
        <v>1899</v>
      </c>
      <c r="C4" s="5">
        <v>799</v>
      </c>
      <c r="D4" s="4"/>
      <c r="E4" s="4"/>
      <c r="F4" s="6">
        <v>4</v>
      </c>
      <c r="G4" s="4" t="s">
        <v>25</v>
      </c>
      <c r="H4" s="4" t="s">
        <v>26</v>
      </c>
      <c r="I4" s="7" t="s">
        <v>20</v>
      </c>
      <c r="J4" s="5">
        <v>740</v>
      </c>
      <c r="K4" s="5">
        <v>0</v>
      </c>
      <c r="L4" s="5">
        <f t="shared" si="0"/>
        <v>59</v>
      </c>
    </row>
    <row r="5" spans="1:12" ht="15.75" customHeight="1" x14ac:dyDescent="0.3">
      <c r="A5" s="4" t="s">
        <v>27</v>
      </c>
      <c r="B5" s="5">
        <v>749.98</v>
      </c>
      <c r="C5" s="4"/>
      <c r="D5" s="4"/>
      <c r="E5" s="4"/>
      <c r="F5" s="6">
        <v>1</v>
      </c>
      <c r="G5" s="4" t="s">
        <v>28</v>
      </c>
      <c r="H5" s="4" t="s">
        <v>29</v>
      </c>
      <c r="I5" s="7" t="s">
        <v>20</v>
      </c>
      <c r="J5" s="5">
        <v>699.99</v>
      </c>
      <c r="K5" s="5">
        <v>0</v>
      </c>
      <c r="L5" s="5">
        <f t="shared" si="0"/>
        <v>49.990000000000009</v>
      </c>
    </row>
    <row r="6" spans="1:12" ht="15.75" customHeight="1" x14ac:dyDescent="0.3">
      <c r="A6" s="4" t="s">
        <v>30</v>
      </c>
      <c r="B6" s="5">
        <v>479.98</v>
      </c>
      <c r="C6" s="4"/>
      <c r="D6" s="4"/>
      <c r="E6" s="4"/>
      <c r="F6" s="6">
        <v>10</v>
      </c>
      <c r="G6" s="4" t="s">
        <v>31</v>
      </c>
      <c r="H6" s="4" t="s">
        <v>32</v>
      </c>
      <c r="I6" s="7" t="s">
        <v>20</v>
      </c>
      <c r="J6" s="5">
        <v>469</v>
      </c>
      <c r="K6" s="5">
        <v>0</v>
      </c>
      <c r="L6" s="5">
        <f t="shared" si="0"/>
        <v>10.980000000000018</v>
      </c>
    </row>
    <row r="7" spans="1:12" ht="15.75" customHeight="1" x14ac:dyDescent="0.3">
      <c r="A7" s="4" t="s">
        <v>33</v>
      </c>
      <c r="B7" s="5">
        <v>774.98</v>
      </c>
      <c r="C7" s="4"/>
      <c r="D7" s="4"/>
      <c r="E7" s="4"/>
      <c r="F7" s="6">
        <v>1</v>
      </c>
      <c r="G7" s="4" t="s">
        <v>34</v>
      </c>
      <c r="H7" s="4" t="s">
        <v>35</v>
      </c>
      <c r="I7" s="7" t="s">
        <v>20</v>
      </c>
      <c r="J7" s="5">
        <v>749.96</v>
      </c>
      <c r="K7" s="5">
        <v>0</v>
      </c>
      <c r="L7" s="5">
        <f t="shared" si="0"/>
        <v>25.019999999999982</v>
      </c>
    </row>
    <row r="8" spans="1:12" ht="15.75" customHeight="1" x14ac:dyDescent="0.3">
      <c r="A8" s="4" t="s">
        <v>36</v>
      </c>
      <c r="B8" s="5">
        <v>669.98</v>
      </c>
      <c r="C8" s="4"/>
      <c r="D8" s="4"/>
      <c r="E8" s="4"/>
      <c r="F8" s="6">
        <v>2</v>
      </c>
      <c r="G8" s="4" t="s">
        <v>37</v>
      </c>
      <c r="H8" s="4" t="s">
        <v>38</v>
      </c>
      <c r="I8" s="7" t="s">
        <v>20</v>
      </c>
      <c r="J8" s="5">
        <v>620.97</v>
      </c>
      <c r="K8" s="5">
        <v>0</v>
      </c>
      <c r="L8" s="5">
        <f t="shared" si="0"/>
        <v>49.009999999999991</v>
      </c>
    </row>
    <row r="9" spans="1:12" ht="15.75" customHeight="1" x14ac:dyDescent="0.3">
      <c r="A9" s="4" t="s">
        <v>39</v>
      </c>
      <c r="B9" s="5">
        <v>799</v>
      </c>
      <c r="C9" s="5">
        <v>559.99</v>
      </c>
      <c r="D9" s="4"/>
      <c r="E9" s="4"/>
      <c r="F9" s="6">
        <v>2</v>
      </c>
      <c r="G9" s="4" t="s">
        <v>40</v>
      </c>
      <c r="H9" s="4" t="s">
        <v>41</v>
      </c>
      <c r="I9" s="7" t="s">
        <v>20</v>
      </c>
      <c r="J9" s="5">
        <v>564.66999999999996</v>
      </c>
      <c r="K9" s="5">
        <v>0</v>
      </c>
      <c r="L9" s="5">
        <f t="shared" si="0"/>
        <v>-4.67999999999995</v>
      </c>
    </row>
    <row r="10" spans="1:12" ht="15.75" customHeight="1" x14ac:dyDescent="0.3">
      <c r="A10" s="4" t="s">
        <v>42</v>
      </c>
      <c r="B10" s="5">
        <v>39.979999999999997</v>
      </c>
      <c r="C10" s="4"/>
      <c r="D10" s="4"/>
      <c r="E10" s="4"/>
      <c r="F10" s="6">
        <v>10</v>
      </c>
      <c r="G10" s="4" t="s">
        <v>43</v>
      </c>
      <c r="H10" s="4" t="s">
        <v>44</v>
      </c>
      <c r="I10" s="7" t="s">
        <v>20</v>
      </c>
      <c r="J10" s="5">
        <v>9.99</v>
      </c>
      <c r="K10" s="5">
        <v>18</v>
      </c>
      <c r="L10" s="5">
        <f t="shared" si="0"/>
        <v>11.989999999999995</v>
      </c>
    </row>
    <row r="11" spans="1:12" ht="15.75" customHeight="1" x14ac:dyDescent="0.3">
      <c r="A11" s="4" t="s">
        <v>45</v>
      </c>
      <c r="B11" s="5">
        <v>39.979999999999997</v>
      </c>
      <c r="C11" s="4"/>
      <c r="D11" s="4"/>
      <c r="E11" s="4"/>
      <c r="F11" s="6">
        <v>10</v>
      </c>
      <c r="G11" s="4" t="s">
        <v>46</v>
      </c>
      <c r="H11" s="4" t="s">
        <v>47</v>
      </c>
      <c r="I11" s="7" t="s">
        <v>20</v>
      </c>
      <c r="J11" s="5">
        <v>9.99</v>
      </c>
      <c r="K11" s="5">
        <v>18</v>
      </c>
      <c r="L11" s="5">
        <f t="shared" si="0"/>
        <v>11.989999999999995</v>
      </c>
    </row>
    <row r="12" spans="1:12" ht="15.75" customHeight="1" x14ac:dyDescent="0.3">
      <c r="A12" s="4" t="s">
        <v>48</v>
      </c>
      <c r="B12" s="5">
        <v>49.98</v>
      </c>
      <c r="C12" s="4"/>
      <c r="D12" s="4"/>
      <c r="E12" s="4"/>
      <c r="F12" s="6">
        <v>10</v>
      </c>
      <c r="G12" s="4" t="s">
        <v>49</v>
      </c>
      <c r="H12" s="4" t="s">
        <v>50</v>
      </c>
      <c r="I12" s="7" t="s">
        <v>20</v>
      </c>
      <c r="J12" s="5">
        <v>19.989999999999998</v>
      </c>
      <c r="K12" s="5">
        <v>7.99</v>
      </c>
      <c r="L12" s="5">
        <f t="shared" si="0"/>
        <v>22</v>
      </c>
    </row>
    <row r="13" spans="1:12" ht="15.75" customHeight="1" x14ac:dyDescent="0.3">
      <c r="A13" s="4" t="s">
        <v>51</v>
      </c>
      <c r="B13" s="5">
        <v>39.979999999999997</v>
      </c>
      <c r="C13" s="4"/>
      <c r="D13" s="4"/>
      <c r="E13" s="4"/>
      <c r="F13" s="6">
        <v>10</v>
      </c>
      <c r="G13" s="4" t="s">
        <v>52</v>
      </c>
      <c r="H13" s="4" t="s">
        <v>53</v>
      </c>
      <c r="I13" s="7" t="s">
        <v>20</v>
      </c>
      <c r="J13" s="5">
        <v>14.99</v>
      </c>
      <c r="K13" s="5">
        <v>7.99</v>
      </c>
      <c r="L13" s="5">
        <f t="shared" si="0"/>
        <v>16.999999999999996</v>
      </c>
    </row>
    <row r="14" spans="1:12" ht="15.75" customHeight="1" x14ac:dyDescent="0.3">
      <c r="A14" s="4" t="s">
        <v>54</v>
      </c>
      <c r="B14" s="5">
        <v>39.979999999999997</v>
      </c>
      <c r="C14" s="4"/>
      <c r="D14" s="4"/>
      <c r="E14" s="4"/>
      <c r="F14" s="6">
        <v>10</v>
      </c>
      <c r="G14" s="4" t="s">
        <v>55</v>
      </c>
      <c r="H14" s="4" t="s">
        <v>56</v>
      </c>
      <c r="I14" s="7" t="s">
        <v>20</v>
      </c>
      <c r="J14" s="5">
        <v>14.99</v>
      </c>
      <c r="K14" s="5">
        <v>7.99</v>
      </c>
      <c r="L14" s="5">
        <f t="shared" si="0"/>
        <v>16.999999999999996</v>
      </c>
    </row>
    <row r="15" spans="1:12" ht="15.75" customHeight="1" x14ac:dyDescent="0.3">
      <c r="A15" s="4" t="s">
        <v>57</v>
      </c>
      <c r="B15" s="5">
        <v>39.979999999999997</v>
      </c>
      <c r="C15" s="4"/>
      <c r="D15" s="4"/>
      <c r="E15" s="4"/>
      <c r="F15" s="6">
        <v>10</v>
      </c>
      <c r="G15" s="4" t="s">
        <v>58</v>
      </c>
      <c r="H15" s="4" t="s">
        <v>59</v>
      </c>
      <c r="I15" s="7" t="s">
        <v>20</v>
      </c>
      <c r="J15" s="5">
        <v>7.48</v>
      </c>
      <c r="K15" s="5">
        <v>7.99</v>
      </c>
      <c r="L15" s="5">
        <f t="shared" si="0"/>
        <v>24.509999999999998</v>
      </c>
    </row>
    <row r="16" spans="1:12" ht="15.75" customHeight="1" x14ac:dyDescent="0.3">
      <c r="A16" s="4" t="s">
        <v>60</v>
      </c>
      <c r="B16" s="5">
        <v>69.98</v>
      </c>
      <c r="C16" s="4"/>
      <c r="D16" s="4"/>
      <c r="E16" s="4"/>
      <c r="F16" s="6">
        <v>10</v>
      </c>
      <c r="G16" s="4" t="s">
        <v>61</v>
      </c>
      <c r="H16" s="4" t="s">
        <v>62</v>
      </c>
      <c r="I16" s="7" t="s">
        <v>20</v>
      </c>
      <c r="J16" s="5">
        <v>39.97</v>
      </c>
      <c r="K16" s="5">
        <v>7.99</v>
      </c>
      <c r="L16" s="5">
        <f t="shared" si="0"/>
        <v>22.020000000000003</v>
      </c>
    </row>
    <row r="17" spans="1:12" ht="15.75" customHeight="1" x14ac:dyDescent="0.3">
      <c r="A17" s="4" t="s">
        <v>63</v>
      </c>
      <c r="B17" s="5">
        <v>79.98</v>
      </c>
      <c r="C17" s="4"/>
      <c r="D17" s="4"/>
      <c r="E17" s="4"/>
      <c r="F17" s="6">
        <v>10</v>
      </c>
      <c r="G17" s="4" t="s">
        <v>64</v>
      </c>
      <c r="H17" s="4" t="s">
        <v>65</v>
      </c>
      <c r="I17" s="7" t="s">
        <v>20</v>
      </c>
      <c r="J17" s="5">
        <v>50</v>
      </c>
      <c r="K17" s="5">
        <v>18</v>
      </c>
      <c r="L17" s="5">
        <f t="shared" si="0"/>
        <v>11.980000000000004</v>
      </c>
    </row>
    <row r="18" spans="1:12" ht="15.75" customHeight="1" x14ac:dyDescent="0.3">
      <c r="A18" s="4" t="s">
        <v>66</v>
      </c>
      <c r="B18" s="5">
        <v>69.98</v>
      </c>
      <c r="C18" s="4"/>
      <c r="D18" s="4"/>
      <c r="E18" s="4"/>
      <c r="F18" s="6">
        <v>10</v>
      </c>
      <c r="G18" s="4" t="s">
        <v>67</v>
      </c>
      <c r="H18" s="4" t="s">
        <v>68</v>
      </c>
      <c r="I18" s="7" t="s">
        <v>20</v>
      </c>
      <c r="J18" s="5">
        <v>19.989999999999998</v>
      </c>
      <c r="K18" s="5">
        <v>12</v>
      </c>
      <c r="L18" s="5">
        <f t="shared" si="0"/>
        <v>37.990000000000009</v>
      </c>
    </row>
    <row r="19" spans="1:12" ht="15.75" customHeight="1" x14ac:dyDescent="0.3">
      <c r="A19" s="4" t="s">
        <v>69</v>
      </c>
      <c r="B19" s="5">
        <v>49.98</v>
      </c>
      <c r="C19" s="4"/>
      <c r="D19" s="4"/>
      <c r="E19" s="4"/>
      <c r="F19" s="6">
        <v>10</v>
      </c>
      <c r="G19" s="4" t="s">
        <v>70</v>
      </c>
      <c r="H19" s="4" t="s">
        <v>71</v>
      </c>
      <c r="I19" s="7" t="s">
        <v>20</v>
      </c>
      <c r="J19" s="5">
        <v>20</v>
      </c>
      <c r="K19" s="5">
        <v>18</v>
      </c>
      <c r="L19" s="5">
        <f t="shared" si="0"/>
        <v>11.979999999999997</v>
      </c>
    </row>
    <row r="20" spans="1:12" ht="15.75" customHeight="1" x14ac:dyDescent="0.3">
      <c r="A20" s="4" t="s">
        <v>72</v>
      </c>
      <c r="B20" s="5">
        <v>69.98</v>
      </c>
      <c r="C20" s="4"/>
      <c r="D20" s="4"/>
      <c r="E20" s="4"/>
      <c r="F20" s="6">
        <v>10</v>
      </c>
      <c r="G20" s="4" t="s">
        <v>73</v>
      </c>
      <c r="H20" s="4" t="s">
        <v>74</v>
      </c>
      <c r="I20" s="7" t="s">
        <v>20</v>
      </c>
      <c r="J20" s="5">
        <v>35.99</v>
      </c>
      <c r="K20" s="5">
        <v>0</v>
      </c>
      <c r="L20" s="5">
        <f t="shared" si="0"/>
        <v>33.99</v>
      </c>
    </row>
    <row r="21" spans="1:12" ht="15.75" customHeight="1" x14ac:dyDescent="0.3">
      <c r="A21" s="4" t="s">
        <v>75</v>
      </c>
      <c r="B21" s="5">
        <v>69.98</v>
      </c>
      <c r="C21" s="4"/>
      <c r="D21" s="4"/>
      <c r="E21" s="4"/>
      <c r="F21" s="6">
        <v>10</v>
      </c>
      <c r="G21" s="4" t="s">
        <v>76</v>
      </c>
      <c r="H21" s="4" t="s">
        <v>77</v>
      </c>
      <c r="I21" s="7" t="s">
        <v>20</v>
      </c>
      <c r="J21" s="5">
        <v>20</v>
      </c>
      <c r="K21" s="5">
        <v>18</v>
      </c>
      <c r="L21" s="5">
        <f t="shared" si="0"/>
        <v>31.980000000000004</v>
      </c>
    </row>
    <row r="22" spans="1:12" ht="15.75" customHeight="1" x14ac:dyDescent="0.3">
      <c r="A22" s="4" t="s">
        <v>78</v>
      </c>
      <c r="B22" s="5">
        <v>39.979999999999997</v>
      </c>
      <c r="C22" s="4"/>
      <c r="D22" s="4"/>
      <c r="E22" s="4"/>
      <c r="F22" s="6">
        <v>10</v>
      </c>
      <c r="G22" s="4" t="s">
        <v>79</v>
      </c>
      <c r="H22" s="4" t="s">
        <v>80</v>
      </c>
      <c r="I22" s="7" t="s">
        <v>20</v>
      </c>
      <c r="J22" s="5">
        <v>15.99</v>
      </c>
      <c r="K22" s="5">
        <v>18</v>
      </c>
      <c r="L22" s="5">
        <f t="shared" si="0"/>
        <v>5.9899999999999949</v>
      </c>
    </row>
    <row r="23" spans="1:12" ht="15.75" customHeight="1" x14ac:dyDescent="0.3">
      <c r="A23" s="4" t="s">
        <v>81</v>
      </c>
      <c r="B23" s="5">
        <v>38.99</v>
      </c>
      <c r="C23" s="4"/>
      <c r="D23" s="4"/>
      <c r="E23" s="4"/>
      <c r="F23" s="6">
        <v>10</v>
      </c>
      <c r="G23" s="4" t="s">
        <v>82</v>
      </c>
      <c r="H23" s="4" t="s">
        <v>83</v>
      </c>
      <c r="I23" s="7" t="s">
        <v>20</v>
      </c>
      <c r="J23" s="5">
        <v>15.99</v>
      </c>
      <c r="K23" s="5">
        <v>15</v>
      </c>
      <c r="L23" s="5">
        <f t="shared" si="0"/>
        <v>8</v>
      </c>
    </row>
    <row r="24" spans="1:12" ht="15.75" customHeight="1" x14ac:dyDescent="0.3">
      <c r="A24" s="4" t="s">
        <v>84</v>
      </c>
      <c r="B24" s="5">
        <v>38.99</v>
      </c>
      <c r="C24" s="4"/>
      <c r="D24" s="4"/>
      <c r="E24" s="4"/>
      <c r="F24" s="6">
        <v>10</v>
      </c>
      <c r="G24" s="4" t="s">
        <v>85</v>
      </c>
      <c r="H24" s="4" t="s">
        <v>86</v>
      </c>
      <c r="I24" s="7" t="s">
        <v>20</v>
      </c>
      <c r="J24" s="5">
        <v>15.99</v>
      </c>
      <c r="K24" s="5">
        <v>15</v>
      </c>
      <c r="L24" s="5">
        <f t="shared" si="0"/>
        <v>8</v>
      </c>
    </row>
    <row r="25" spans="1:12" ht="15.75" customHeight="1" x14ac:dyDescent="0.3">
      <c r="A25" s="4" t="s">
        <v>87</v>
      </c>
      <c r="B25" s="5">
        <v>39.979999999999997</v>
      </c>
      <c r="C25" s="4"/>
      <c r="D25" s="4"/>
      <c r="E25" s="4"/>
      <c r="F25" s="6">
        <v>10</v>
      </c>
      <c r="G25" s="4" t="s">
        <v>88</v>
      </c>
      <c r="H25" s="4" t="s">
        <v>89</v>
      </c>
      <c r="I25" s="7" t="s">
        <v>20</v>
      </c>
      <c r="J25" s="5">
        <v>11.99</v>
      </c>
      <c r="K25" s="5">
        <v>18</v>
      </c>
      <c r="L25" s="5">
        <f t="shared" si="0"/>
        <v>9.9899999999999949</v>
      </c>
    </row>
    <row r="26" spans="1:12" ht="15.75" customHeight="1" x14ac:dyDescent="0.3">
      <c r="A26" s="4" t="s">
        <v>90</v>
      </c>
      <c r="B26" s="5">
        <v>38.99</v>
      </c>
      <c r="C26" s="4"/>
      <c r="D26" s="4"/>
      <c r="E26" s="4"/>
      <c r="F26" s="6">
        <v>10</v>
      </c>
      <c r="G26" s="4" t="s">
        <v>91</v>
      </c>
      <c r="H26" s="4" t="s">
        <v>92</v>
      </c>
      <c r="I26" s="7" t="s">
        <v>20</v>
      </c>
      <c r="J26" s="5">
        <v>10.99</v>
      </c>
      <c r="K26" s="5">
        <v>15</v>
      </c>
      <c r="L26" s="5">
        <f t="shared" si="0"/>
        <v>13</v>
      </c>
    </row>
    <row r="27" spans="1:12" ht="15.6" x14ac:dyDescent="0.3">
      <c r="A27" s="4" t="s">
        <v>93</v>
      </c>
      <c r="B27" s="5">
        <v>38.99</v>
      </c>
      <c r="C27" s="4"/>
      <c r="D27" s="4"/>
      <c r="E27" s="4"/>
      <c r="F27" s="6">
        <v>10</v>
      </c>
      <c r="G27" s="4" t="s">
        <v>94</v>
      </c>
      <c r="H27" s="4" t="s">
        <v>95</v>
      </c>
      <c r="I27" s="7" t="s">
        <v>20</v>
      </c>
      <c r="J27" s="5">
        <v>11.99</v>
      </c>
      <c r="K27" s="5">
        <v>18</v>
      </c>
      <c r="L27" s="5">
        <f t="shared" si="0"/>
        <v>9</v>
      </c>
    </row>
    <row r="28" spans="1:12" ht="15.6" x14ac:dyDescent="0.3">
      <c r="A28" s="4" t="s">
        <v>96</v>
      </c>
      <c r="B28" s="5">
        <v>38.979999999999997</v>
      </c>
      <c r="C28" s="4"/>
      <c r="D28" s="4"/>
      <c r="E28" s="4"/>
      <c r="F28" s="6">
        <v>10</v>
      </c>
      <c r="G28" s="4" t="s">
        <v>97</v>
      </c>
      <c r="H28" s="4" t="s">
        <v>98</v>
      </c>
      <c r="I28" s="7" t="s">
        <v>20</v>
      </c>
      <c r="J28" s="5">
        <v>12.99</v>
      </c>
      <c r="K28" s="5">
        <v>15</v>
      </c>
      <c r="L28" s="5">
        <f t="shared" si="0"/>
        <v>10.989999999999995</v>
      </c>
    </row>
    <row r="29" spans="1:12" ht="15.6" x14ac:dyDescent="0.3">
      <c r="A29" s="4" t="s">
        <v>99</v>
      </c>
      <c r="B29" s="5">
        <v>38.99</v>
      </c>
      <c r="C29" s="4"/>
      <c r="D29" s="4"/>
      <c r="E29" s="4"/>
      <c r="F29" s="6">
        <v>10</v>
      </c>
      <c r="G29" s="4" t="s">
        <v>100</v>
      </c>
      <c r="H29" s="4" t="s">
        <v>101</v>
      </c>
      <c r="I29" s="7" t="s">
        <v>20</v>
      </c>
      <c r="J29" s="5">
        <v>10</v>
      </c>
      <c r="K29" s="5">
        <v>9.99</v>
      </c>
      <c r="L29" s="5">
        <f t="shared" si="0"/>
        <v>19</v>
      </c>
    </row>
    <row r="30" spans="1:12" ht="15.6" x14ac:dyDescent="0.3">
      <c r="A30" s="4" t="s">
        <v>102</v>
      </c>
      <c r="B30" s="5">
        <v>38.979999999999997</v>
      </c>
      <c r="C30" s="4"/>
      <c r="D30" s="4"/>
      <c r="E30" s="4"/>
      <c r="F30" s="6">
        <v>10</v>
      </c>
      <c r="G30" s="4" t="s">
        <v>103</v>
      </c>
      <c r="H30" s="4" t="s">
        <v>104</v>
      </c>
      <c r="I30" s="7" t="s">
        <v>20</v>
      </c>
      <c r="J30" s="5">
        <v>12.99</v>
      </c>
      <c r="K30" s="5">
        <v>15</v>
      </c>
      <c r="L30" s="5">
        <f t="shared" si="0"/>
        <v>10.989999999999995</v>
      </c>
    </row>
    <row r="31" spans="1:12" ht="15.6" x14ac:dyDescent="0.3">
      <c r="A31" s="4" t="s">
        <v>105</v>
      </c>
      <c r="B31" s="5">
        <v>38.99</v>
      </c>
      <c r="C31" s="4"/>
      <c r="D31" s="4"/>
      <c r="E31" s="4"/>
      <c r="F31" s="6">
        <v>10</v>
      </c>
      <c r="G31" s="4" t="s">
        <v>106</v>
      </c>
      <c r="H31" s="4" t="s">
        <v>107</v>
      </c>
      <c r="I31" s="7" t="s">
        <v>20</v>
      </c>
      <c r="J31" s="5">
        <v>14.99</v>
      </c>
      <c r="K31" s="5">
        <v>12</v>
      </c>
      <c r="L31" s="5">
        <f t="shared" si="0"/>
        <v>12</v>
      </c>
    </row>
    <row r="32" spans="1:12" ht="15.6" x14ac:dyDescent="0.3">
      <c r="A32" s="4" t="s">
        <v>108</v>
      </c>
      <c r="B32" s="5">
        <v>449.99</v>
      </c>
      <c r="C32" s="4"/>
      <c r="D32" s="4"/>
      <c r="E32" s="4"/>
      <c r="F32" s="6">
        <v>29</v>
      </c>
      <c r="G32" s="4" t="s">
        <v>109</v>
      </c>
      <c r="H32" s="4" t="s">
        <v>110</v>
      </c>
      <c r="I32" s="7" t="s">
        <v>20</v>
      </c>
      <c r="J32" s="5">
        <v>429.99</v>
      </c>
      <c r="K32" s="5">
        <v>0</v>
      </c>
      <c r="L32" s="5">
        <f t="shared" si="0"/>
        <v>20</v>
      </c>
    </row>
    <row r="33" spans="1:12" ht="15.6" x14ac:dyDescent="0.3">
      <c r="A33" s="4" t="s">
        <v>111</v>
      </c>
      <c r="B33" s="5">
        <v>49.98</v>
      </c>
      <c r="C33" s="4"/>
      <c r="D33" s="4"/>
      <c r="E33" s="4"/>
      <c r="F33" s="6">
        <v>10</v>
      </c>
      <c r="G33" s="4" t="s">
        <v>112</v>
      </c>
      <c r="H33" s="4" t="s">
        <v>113</v>
      </c>
      <c r="I33" s="7" t="s">
        <v>20</v>
      </c>
      <c r="J33" s="5">
        <v>47.99</v>
      </c>
      <c r="K33" s="5">
        <v>0</v>
      </c>
      <c r="L33" s="5">
        <f t="shared" si="0"/>
        <v>1.9899999999999949</v>
      </c>
    </row>
    <row r="34" spans="1:12" ht="15.6" x14ac:dyDescent="0.3">
      <c r="A34" s="4" t="s">
        <v>114</v>
      </c>
      <c r="B34" s="5">
        <v>849.99</v>
      </c>
      <c r="C34" s="5">
        <v>664.98</v>
      </c>
      <c r="D34" s="4"/>
      <c r="E34" s="4"/>
      <c r="F34" s="6">
        <v>5</v>
      </c>
      <c r="G34" s="4" t="s">
        <v>115</v>
      </c>
      <c r="H34" s="4" t="s">
        <v>116</v>
      </c>
      <c r="I34" s="7" t="s">
        <v>20</v>
      </c>
      <c r="J34" s="5">
        <v>660</v>
      </c>
      <c r="K34" s="5">
        <v>0</v>
      </c>
      <c r="L34" s="5">
        <f t="shared" si="0"/>
        <v>4.9800000000000182</v>
      </c>
    </row>
    <row r="35" spans="1:12" ht="15.6" x14ac:dyDescent="0.3">
      <c r="A35" s="4" t="s">
        <v>117</v>
      </c>
      <c r="B35" s="5">
        <v>196.98</v>
      </c>
      <c r="C35" s="4"/>
      <c r="D35" s="4"/>
      <c r="E35" s="4"/>
      <c r="F35" s="6">
        <v>4</v>
      </c>
      <c r="G35" s="4" t="s">
        <v>118</v>
      </c>
      <c r="H35" s="4" t="s">
        <v>119</v>
      </c>
      <c r="I35" s="7" t="s">
        <v>20</v>
      </c>
      <c r="J35" s="5">
        <v>193.99</v>
      </c>
      <c r="K35" s="5">
        <v>0</v>
      </c>
      <c r="L35" s="5">
        <f t="shared" si="0"/>
        <v>2.9899999999999807</v>
      </c>
    </row>
    <row r="36" spans="1:12" ht="15.6" x14ac:dyDescent="0.3">
      <c r="A36" s="4" t="s">
        <v>120</v>
      </c>
      <c r="B36" s="5">
        <v>649.98</v>
      </c>
      <c r="C36" s="4"/>
      <c r="D36" s="4"/>
      <c r="E36" s="4"/>
      <c r="F36" s="6">
        <v>11</v>
      </c>
      <c r="G36" s="4" t="s">
        <v>121</v>
      </c>
      <c r="H36" s="4" t="s">
        <v>122</v>
      </c>
      <c r="I36" s="7" t="s">
        <v>20</v>
      </c>
      <c r="J36" s="5">
        <v>549.96</v>
      </c>
      <c r="K36" s="5">
        <v>0</v>
      </c>
      <c r="L36" s="5">
        <f t="shared" si="0"/>
        <v>100.01999999999998</v>
      </c>
    </row>
    <row r="37" spans="1:12" ht="15.6" x14ac:dyDescent="0.3">
      <c r="A37" s="4" t="s">
        <v>123</v>
      </c>
      <c r="B37" s="5">
        <v>649.98</v>
      </c>
      <c r="C37" s="4"/>
      <c r="D37" s="4"/>
      <c r="E37" s="4"/>
      <c r="F37" s="6">
        <v>2</v>
      </c>
      <c r="G37" s="4" t="s">
        <v>124</v>
      </c>
      <c r="H37" s="4" t="s">
        <v>125</v>
      </c>
      <c r="I37" s="7" t="s">
        <v>20</v>
      </c>
      <c r="J37" s="5">
        <v>574</v>
      </c>
      <c r="K37" s="5">
        <v>0</v>
      </c>
      <c r="L37" s="5">
        <f t="shared" si="0"/>
        <v>75.980000000000018</v>
      </c>
    </row>
    <row r="38" spans="1:12" ht="15.6" x14ac:dyDescent="0.3">
      <c r="A38" s="4" t="s">
        <v>126</v>
      </c>
      <c r="B38" s="5">
        <v>529.98</v>
      </c>
      <c r="C38" s="4"/>
      <c r="D38" s="4"/>
      <c r="E38" s="4"/>
      <c r="F38" s="6">
        <v>5</v>
      </c>
      <c r="G38" s="4" t="s">
        <v>127</v>
      </c>
      <c r="H38" s="4" t="s">
        <v>128</v>
      </c>
      <c r="I38" s="7" t="s">
        <v>20</v>
      </c>
      <c r="J38" s="5">
        <v>519.99</v>
      </c>
      <c r="K38" s="5">
        <v>0</v>
      </c>
      <c r="L38" s="5">
        <f t="shared" si="0"/>
        <v>9.9900000000000091</v>
      </c>
    </row>
    <row r="39" spans="1:12" ht="15.6" x14ac:dyDescent="0.3">
      <c r="A39" s="4" t="s">
        <v>129</v>
      </c>
      <c r="B39" s="5">
        <v>539.98</v>
      </c>
      <c r="C39" s="4"/>
      <c r="D39" s="4"/>
      <c r="E39" s="4"/>
      <c r="F39" s="6">
        <v>16</v>
      </c>
      <c r="G39" s="4" t="s">
        <v>130</v>
      </c>
      <c r="H39" s="4" t="s">
        <v>131</v>
      </c>
      <c r="I39" s="7" t="s">
        <v>20</v>
      </c>
      <c r="J39" s="5">
        <v>484.99</v>
      </c>
      <c r="K39" s="5">
        <v>0</v>
      </c>
      <c r="L39" s="5">
        <f t="shared" si="0"/>
        <v>54.990000000000009</v>
      </c>
    </row>
    <row r="40" spans="1:12" ht="15.6" x14ac:dyDescent="0.3">
      <c r="A40" s="4" t="s">
        <v>132</v>
      </c>
      <c r="B40" s="5">
        <v>1099.99</v>
      </c>
      <c r="C40" s="5">
        <v>759.99</v>
      </c>
      <c r="D40" s="4"/>
      <c r="E40" s="4"/>
      <c r="F40" s="6">
        <v>2</v>
      </c>
      <c r="G40" s="4" t="s">
        <v>133</v>
      </c>
      <c r="H40" s="4" t="s">
        <v>134</v>
      </c>
      <c r="I40" s="7" t="s">
        <v>20</v>
      </c>
      <c r="J40" s="5">
        <v>699.99</v>
      </c>
      <c r="K40" s="5">
        <v>0</v>
      </c>
      <c r="L40" s="5">
        <f t="shared" si="0"/>
        <v>60</v>
      </c>
    </row>
    <row r="41" spans="1:12" ht="15.6" x14ac:dyDescent="0.3">
      <c r="A41" s="4" t="s">
        <v>135</v>
      </c>
      <c r="B41" s="5">
        <v>249</v>
      </c>
      <c r="C41" s="4"/>
      <c r="D41" s="4"/>
      <c r="E41" s="4"/>
      <c r="F41" s="6">
        <v>17</v>
      </c>
      <c r="G41" s="4" t="s">
        <v>136</v>
      </c>
      <c r="H41" s="4" t="s">
        <v>137</v>
      </c>
      <c r="I41" s="7" t="s">
        <v>20</v>
      </c>
      <c r="J41" s="5">
        <v>225.99</v>
      </c>
      <c r="K41" s="5">
        <v>0</v>
      </c>
      <c r="L41" s="5">
        <f t="shared" si="0"/>
        <v>23.009999999999991</v>
      </c>
    </row>
    <row r="42" spans="1:12" ht="15.6" x14ac:dyDescent="0.3">
      <c r="A42" s="4" t="s">
        <v>138</v>
      </c>
      <c r="B42" s="5">
        <v>239.98</v>
      </c>
      <c r="C42" s="4"/>
      <c r="D42" s="4"/>
      <c r="E42" s="4"/>
      <c r="F42" s="6">
        <v>6</v>
      </c>
      <c r="G42" s="4" t="s">
        <v>139</v>
      </c>
      <c r="H42" s="4" t="s">
        <v>140</v>
      </c>
      <c r="I42" s="7" t="s">
        <v>20</v>
      </c>
      <c r="J42" s="5">
        <v>220</v>
      </c>
      <c r="K42" s="5">
        <v>0</v>
      </c>
      <c r="L42" s="5">
        <f t="shared" si="0"/>
        <v>19.97999999999999</v>
      </c>
    </row>
    <row r="43" spans="1:12" ht="15.6" x14ac:dyDescent="0.3">
      <c r="A43" s="4" t="s">
        <v>141</v>
      </c>
      <c r="B43" s="5">
        <v>313.89999999999998</v>
      </c>
      <c r="C43" s="4"/>
      <c r="D43" s="4"/>
      <c r="E43" s="4"/>
      <c r="F43" s="6">
        <v>27</v>
      </c>
      <c r="G43" s="4" t="s">
        <v>142</v>
      </c>
      <c r="H43" s="4" t="s">
        <v>143</v>
      </c>
      <c r="I43" s="7" t="s">
        <v>20</v>
      </c>
      <c r="J43" s="5">
        <v>310.98</v>
      </c>
      <c r="K43" s="5">
        <v>0</v>
      </c>
      <c r="L43" s="5">
        <f t="shared" si="0"/>
        <v>2.9199999999999591</v>
      </c>
    </row>
    <row r="44" spans="1:12" ht="15.6" x14ac:dyDescent="0.3">
      <c r="A44" s="4" t="s">
        <v>144</v>
      </c>
      <c r="B44" s="5">
        <v>440.98</v>
      </c>
      <c r="C44" s="4"/>
      <c r="D44" s="4"/>
      <c r="E44" s="4"/>
      <c r="F44" s="6">
        <v>3</v>
      </c>
      <c r="G44" s="4" t="s">
        <v>145</v>
      </c>
      <c r="H44" s="4" t="s">
        <v>146</v>
      </c>
      <c r="I44" s="7" t="s">
        <v>20</v>
      </c>
      <c r="J44" s="5">
        <v>430.97</v>
      </c>
      <c r="K44" s="5">
        <v>0</v>
      </c>
      <c r="L44" s="5">
        <f t="shared" si="0"/>
        <v>10.009999999999991</v>
      </c>
    </row>
    <row r="45" spans="1:12" ht="15.6" x14ac:dyDescent="0.3">
      <c r="A45" s="4" t="s">
        <v>147</v>
      </c>
      <c r="B45" s="5">
        <v>799.99</v>
      </c>
      <c r="C45" s="5">
        <v>429.9</v>
      </c>
      <c r="D45" s="4"/>
      <c r="E45" s="4"/>
      <c r="F45" s="6">
        <v>3</v>
      </c>
      <c r="G45" s="4" t="s">
        <v>148</v>
      </c>
      <c r="H45" s="4" t="s">
        <v>149</v>
      </c>
      <c r="I45" s="7" t="s">
        <v>20</v>
      </c>
      <c r="J45" s="5">
        <v>431</v>
      </c>
      <c r="K45" s="5">
        <v>0</v>
      </c>
      <c r="L45" s="5">
        <f t="shared" si="0"/>
        <v>-1.1000000000000227</v>
      </c>
    </row>
    <row r="46" spans="1:12" ht="15.6" x14ac:dyDescent="0.3">
      <c r="A46" s="4" t="s">
        <v>150</v>
      </c>
      <c r="B46" s="5">
        <v>799.99</v>
      </c>
      <c r="C46" s="5">
        <v>564</v>
      </c>
      <c r="D46" s="4"/>
      <c r="E46" s="4"/>
      <c r="F46" s="6">
        <v>41</v>
      </c>
      <c r="G46" s="4" t="s">
        <v>151</v>
      </c>
      <c r="H46" s="4" t="s">
        <v>152</v>
      </c>
      <c r="I46" s="7" t="s">
        <v>20</v>
      </c>
      <c r="J46" s="5">
        <v>563</v>
      </c>
      <c r="K46" s="5">
        <v>0</v>
      </c>
      <c r="L46" s="5">
        <f t="shared" si="0"/>
        <v>1</v>
      </c>
    </row>
    <row r="47" spans="1:12" ht="15.6" x14ac:dyDescent="0.3">
      <c r="A47" s="4" t="s">
        <v>153</v>
      </c>
      <c r="B47" s="5">
        <v>999.99</v>
      </c>
      <c r="C47" s="5">
        <v>713</v>
      </c>
      <c r="D47" s="4"/>
      <c r="E47" s="4"/>
      <c r="F47" s="6">
        <v>10</v>
      </c>
      <c r="G47" s="4" t="s">
        <v>154</v>
      </c>
      <c r="H47" s="4" t="s">
        <v>155</v>
      </c>
      <c r="I47" s="7" t="s">
        <v>20</v>
      </c>
      <c r="J47" s="5">
        <v>715</v>
      </c>
      <c r="K47" s="5">
        <v>0</v>
      </c>
      <c r="L47" s="5">
        <f t="shared" si="0"/>
        <v>-2</v>
      </c>
    </row>
    <row r="48" spans="1:12" ht="15.6" x14ac:dyDescent="0.3">
      <c r="A48" s="4" t="s">
        <v>156</v>
      </c>
      <c r="B48" s="5">
        <v>799.99</v>
      </c>
      <c r="C48" s="5">
        <v>429.9</v>
      </c>
      <c r="D48" s="4"/>
      <c r="E48" s="4"/>
      <c r="F48" s="6">
        <v>19</v>
      </c>
      <c r="G48" s="4" t="s">
        <v>157</v>
      </c>
      <c r="H48" s="4" t="s">
        <v>158</v>
      </c>
      <c r="I48" s="7" t="s">
        <v>20</v>
      </c>
      <c r="J48" s="5">
        <v>431</v>
      </c>
      <c r="K48" s="5">
        <v>0</v>
      </c>
      <c r="L48" s="5">
        <f t="shared" si="0"/>
        <v>-1.1000000000000227</v>
      </c>
    </row>
    <row r="49" spans="1:12" ht="15.6" x14ac:dyDescent="0.3">
      <c r="A49" s="4" t="s">
        <v>159</v>
      </c>
      <c r="B49" s="5">
        <v>999</v>
      </c>
      <c r="C49" s="5">
        <v>771</v>
      </c>
      <c r="D49" s="4"/>
      <c r="E49" s="4"/>
      <c r="F49" s="6">
        <v>17</v>
      </c>
      <c r="G49" s="4" t="s">
        <v>160</v>
      </c>
      <c r="H49" s="4" t="s">
        <v>161</v>
      </c>
      <c r="I49" s="7" t="s">
        <v>20</v>
      </c>
      <c r="J49" s="5">
        <v>767</v>
      </c>
      <c r="K49" s="5">
        <v>0</v>
      </c>
      <c r="L49" s="5">
        <f t="shared" si="0"/>
        <v>4</v>
      </c>
    </row>
    <row r="50" spans="1:12" ht="15.6" x14ac:dyDescent="0.3">
      <c r="A50" s="4" t="s">
        <v>162</v>
      </c>
      <c r="B50" s="5">
        <v>759.98</v>
      </c>
      <c r="C50" s="4"/>
      <c r="D50" s="4"/>
      <c r="E50" s="4"/>
      <c r="F50" s="6">
        <v>7</v>
      </c>
      <c r="G50" s="4" t="s">
        <v>163</v>
      </c>
      <c r="H50" s="4" t="s">
        <v>164</v>
      </c>
      <c r="I50" s="7" t="s">
        <v>20</v>
      </c>
      <c r="J50" s="5">
        <v>729.96</v>
      </c>
      <c r="K50" s="5">
        <v>0</v>
      </c>
      <c r="L50" s="5">
        <f t="shared" si="0"/>
        <v>30.019999999999982</v>
      </c>
    </row>
    <row r="51" spans="1:12" ht="15.6" x14ac:dyDescent="0.3">
      <c r="A51" s="4" t="s">
        <v>165</v>
      </c>
      <c r="B51" s="5">
        <v>899.99</v>
      </c>
      <c r="C51" s="5">
        <v>729.99</v>
      </c>
      <c r="D51" s="4"/>
      <c r="E51" s="4"/>
      <c r="F51" s="6">
        <v>1</v>
      </c>
      <c r="G51" s="4" t="s">
        <v>166</v>
      </c>
      <c r="H51" s="4" t="s">
        <v>167</v>
      </c>
      <c r="I51" s="7" t="s">
        <v>20</v>
      </c>
      <c r="J51" s="5">
        <v>639.96</v>
      </c>
      <c r="K51" s="5">
        <v>0</v>
      </c>
      <c r="L51" s="5">
        <f t="shared" si="0"/>
        <v>90.029999999999973</v>
      </c>
    </row>
    <row r="52" spans="1:12" ht="15.6" x14ac:dyDescent="0.3">
      <c r="A52" s="4" t="s">
        <v>168</v>
      </c>
      <c r="B52" s="5">
        <v>399.99</v>
      </c>
      <c r="C52" s="5">
        <v>234.94</v>
      </c>
      <c r="D52" s="4"/>
      <c r="E52" s="4"/>
      <c r="F52" s="6">
        <v>2</v>
      </c>
      <c r="G52" s="4" t="s">
        <v>169</v>
      </c>
      <c r="H52" s="4" t="s">
        <v>170</v>
      </c>
      <c r="I52" s="7" t="s">
        <v>20</v>
      </c>
      <c r="J52" s="5">
        <v>228.99</v>
      </c>
      <c r="K52" s="5">
        <v>0</v>
      </c>
      <c r="L52" s="5">
        <f t="shared" si="0"/>
        <v>5.9499999999999886</v>
      </c>
    </row>
    <row r="53" spans="1:12" ht="15.6" x14ac:dyDescent="0.3">
      <c r="A53" s="4" t="s">
        <v>171</v>
      </c>
      <c r="B53" s="5">
        <v>799.99</v>
      </c>
      <c r="C53" s="5">
        <v>599.99</v>
      </c>
      <c r="D53" s="4"/>
      <c r="E53" s="4"/>
      <c r="F53" s="6">
        <v>2</v>
      </c>
      <c r="G53" s="4" t="s">
        <v>172</v>
      </c>
      <c r="H53" s="4" t="s">
        <v>173</v>
      </c>
      <c r="I53" s="7" t="s">
        <v>20</v>
      </c>
      <c r="J53" s="5">
        <v>569.97</v>
      </c>
      <c r="K53" s="5">
        <v>0</v>
      </c>
      <c r="L53" s="5">
        <f t="shared" si="0"/>
        <v>30.019999999999982</v>
      </c>
    </row>
    <row r="54" spans="1:12" ht="15.6" x14ac:dyDescent="0.3">
      <c r="A54" s="4" t="s">
        <v>174</v>
      </c>
      <c r="B54" s="5">
        <v>999.99</v>
      </c>
      <c r="C54" s="5">
        <v>699.99</v>
      </c>
      <c r="D54" s="4"/>
      <c r="E54" s="4"/>
      <c r="F54" s="6">
        <v>10</v>
      </c>
      <c r="G54" s="4" t="s">
        <v>175</v>
      </c>
      <c r="H54" s="4" t="s">
        <v>176</v>
      </c>
      <c r="I54" s="7" t="s">
        <v>20</v>
      </c>
      <c r="J54" s="5">
        <v>659.96</v>
      </c>
      <c r="K54" s="5">
        <v>0</v>
      </c>
      <c r="L54" s="5">
        <f t="shared" si="0"/>
        <v>40.029999999999973</v>
      </c>
    </row>
    <row r="55" spans="1:12" ht="15.6" x14ac:dyDescent="0.3">
      <c r="A55" s="4" t="s">
        <v>177</v>
      </c>
      <c r="B55" s="5">
        <v>769.98</v>
      </c>
      <c r="C55" s="4"/>
      <c r="D55" s="4"/>
      <c r="E55" s="4"/>
      <c r="F55" s="6">
        <v>1</v>
      </c>
      <c r="G55" s="4" t="s">
        <v>178</v>
      </c>
      <c r="H55" s="4" t="s">
        <v>179</v>
      </c>
      <c r="I55" s="8" t="s">
        <v>180</v>
      </c>
      <c r="J55" s="5">
        <v>769.98</v>
      </c>
      <c r="K55" s="5">
        <v>0</v>
      </c>
      <c r="L55" s="5">
        <f t="shared" si="0"/>
        <v>0</v>
      </c>
    </row>
    <row r="56" spans="1:12" ht="15.6" x14ac:dyDescent="0.3">
      <c r="A56" s="4" t="s">
        <v>181</v>
      </c>
      <c r="B56" s="5">
        <v>1899</v>
      </c>
      <c r="C56" s="5">
        <v>674.99</v>
      </c>
      <c r="D56" s="4"/>
      <c r="E56" s="4"/>
      <c r="F56" s="6">
        <v>6</v>
      </c>
      <c r="G56" s="4" t="s">
        <v>182</v>
      </c>
      <c r="H56" s="4" t="s">
        <v>183</v>
      </c>
      <c r="I56" s="8" t="s">
        <v>180</v>
      </c>
      <c r="J56" s="5">
        <v>674.99</v>
      </c>
      <c r="K56" s="5">
        <v>0</v>
      </c>
      <c r="L56" s="5">
        <f t="shared" si="0"/>
        <v>0</v>
      </c>
    </row>
    <row r="57" spans="1:12" ht="15.6" x14ac:dyDescent="0.3">
      <c r="A57" s="4" t="s">
        <v>184</v>
      </c>
      <c r="B57" s="5">
        <v>799.99</v>
      </c>
      <c r="C57" s="5">
        <v>509.99</v>
      </c>
      <c r="D57" s="4"/>
      <c r="E57" s="4"/>
      <c r="F57" s="6">
        <v>11</v>
      </c>
      <c r="G57" s="4" t="s">
        <v>185</v>
      </c>
      <c r="H57" s="4" t="s">
        <v>186</v>
      </c>
      <c r="I57" s="8" t="s">
        <v>180</v>
      </c>
      <c r="J57" s="5">
        <v>509.99</v>
      </c>
      <c r="K57" s="5">
        <v>0</v>
      </c>
      <c r="L57" s="5">
        <f t="shared" si="0"/>
        <v>0</v>
      </c>
    </row>
    <row r="58" spans="1:12" ht="15.6" x14ac:dyDescent="0.3">
      <c r="A58" s="4" t="s">
        <v>187</v>
      </c>
      <c r="B58" s="5">
        <v>699.99</v>
      </c>
      <c r="C58" s="4"/>
      <c r="D58" s="4"/>
      <c r="E58" s="4"/>
      <c r="F58" s="6">
        <v>9</v>
      </c>
      <c r="G58" s="4" t="s">
        <v>188</v>
      </c>
      <c r="H58" s="4" t="s">
        <v>189</v>
      </c>
      <c r="I58" s="8" t="s">
        <v>180</v>
      </c>
      <c r="J58" s="5">
        <v>699.99</v>
      </c>
      <c r="K58" s="5">
        <v>0</v>
      </c>
      <c r="L58" s="5">
        <f t="shared" si="0"/>
        <v>0</v>
      </c>
    </row>
    <row r="59" spans="1:12" ht="15.6" x14ac:dyDescent="0.3">
      <c r="A59" s="4" t="s">
        <v>190</v>
      </c>
      <c r="B59" s="5">
        <v>229.99</v>
      </c>
      <c r="C59" s="4"/>
      <c r="D59" s="4"/>
      <c r="E59" s="4"/>
      <c r="F59" s="6">
        <v>7</v>
      </c>
      <c r="G59" s="4" t="s">
        <v>191</v>
      </c>
      <c r="H59" s="4" t="s">
        <v>192</v>
      </c>
      <c r="I59" s="8" t="s">
        <v>180</v>
      </c>
      <c r="J59" s="5">
        <v>229.99</v>
      </c>
      <c r="K59" s="5">
        <v>0</v>
      </c>
      <c r="L59" s="5">
        <f t="shared" si="0"/>
        <v>0</v>
      </c>
    </row>
    <row r="60" spans="1:12" ht="15.6" x14ac:dyDescent="0.3">
      <c r="A60" s="4" t="s">
        <v>193</v>
      </c>
      <c r="B60" s="5">
        <v>384.99</v>
      </c>
      <c r="C60" s="4"/>
      <c r="D60" s="4"/>
      <c r="E60" s="4"/>
      <c r="F60" s="6">
        <v>8</v>
      </c>
      <c r="G60" s="4" t="s">
        <v>194</v>
      </c>
      <c r="H60" s="4" t="s">
        <v>195</v>
      </c>
      <c r="I60" s="8" t="s">
        <v>180</v>
      </c>
      <c r="J60" s="5">
        <v>384.99</v>
      </c>
      <c r="K60" s="5">
        <v>0</v>
      </c>
      <c r="L60" s="5">
        <f t="shared" si="0"/>
        <v>0</v>
      </c>
    </row>
    <row r="61" spans="1:12" ht="15.6" x14ac:dyDescent="0.3">
      <c r="A61" s="4" t="s">
        <v>196</v>
      </c>
      <c r="B61" s="5">
        <v>49.98</v>
      </c>
      <c r="C61" s="4"/>
      <c r="D61" s="4"/>
      <c r="E61" s="4"/>
      <c r="F61" s="6">
        <v>10</v>
      </c>
      <c r="G61" s="4" t="s">
        <v>197</v>
      </c>
      <c r="H61" s="4" t="s">
        <v>198</v>
      </c>
      <c r="I61" s="8" t="s">
        <v>180</v>
      </c>
      <c r="J61" s="5">
        <v>49.98</v>
      </c>
      <c r="K61" s="5">
        <v>0</v>
      </c>
      <c r="L61" s="5">
        <f t="shared" si="0"/>
        <v>0</v>
      </c>
    </row>
    <row r="62" spans="1:12" ht="15.6" x14ac:dyDescent="0.3">
      <c r="A62" s="4" t="s">
        <v>199</v>
      </c>
      <c r="B62" s="5">
        <v>49.98</v>
      </c>
      <c r="C62" s="4"/>
      <c r="D62" s="4"/>
      <c r="E62" s="4"/>
      <c r="F62" s="6">
        <v>10</v>
      </c>
      <c r="G62" s="4" t="s">
        <v>200</v>
      </c>
      <c r="H62" s="4" t="s">
        <v>201</v>
      </c>
      <c r="I62" s="8" t="s">
        <v>180</v>
      </c>
      <c r="J62" s="5">
        <v>49.98</v>
      </c>
      <c r="K62" s="5">
        <v>0</v>
      </c>
      <c r="L62" s="5">
        <f t="shared" si="0"/>
        <v>0</v>
      </c>
    </row>
    <row r="63" spans="1:12" ht="15.6" x14ac:dyDescent="0.3">
      <c r="A63" s="4" t="s">
        <v>202</v>
      </c>
      <c r="B63" s="5">
        <v>49.98</v>
      </c>
      <c r="C63" s="4"/>
      <c r="D63" s="4"/>
      <c r="E63" s="4"/>
      <c r="F63" s="6">
        <v>10</v>
      </c>
      <c r="G63" s="4" t="s">
        <v>203</v>
      </c>
      <c r="H63" s="4" t="s">
        <v>204</v>
      </c>
      <c r="I63" s="8" t="s">
        <v>180</v>
      </c>
      <c r="J63" s="5">
        <v>49.98</v>
      </c>
      <c r="K63" s="5">
        <v>0</v>
      </c>
      <c r="L63" s="5">
        <f t="shared" si="0"/>
        <v>0</v>
      </c>
    </row>
    <row r="64" spans="1:12" ht="15.6" x14ac:dyDescent="0.3">
      <c r="A64" s="4" t="s">
        <v>205</v>
      </c>
      <c r="B64" s="5">
        <v>899.99</v>
      </c>
      <c r="C64" s="5">
        <v>564.98</v>
      </c>
      <c r="D64" s="4"/>
      <c r="E64" s="4"/>
      <c r="F64" s="6">
        <v>16</v>
      </c>
      <c r="G64" s="4" t="s">
        <v>206</v>
      </c>
      <c r="H64" s="4" t="s">
        <v>207</v>
      </c>
      <c r="I64" s="8" t="s">
        <v>180</v>
      </c>
      <c r="J64" s="5">
        <v>564.98</v>
      </c>
      <c r="K64" s="5">
        <v>0</v>
      </c>
      <c r="L64" s="5">
        <f t="shared" si="0"/>
        <v>0</v>
      </c>
    </row>
    <row r="65" spans="1:12" ht="15.6" x14ac:dyDescent="0.3">
      <c r="A65" s="4" t="s">
        <v>208</v>
      </c>
      <c r="B65" s="5">
        <v>499.98</v>
      </c>
      <c r="C65" s="5">
        <v>339.99</v>
      </c>
      <c r="D65" s="4"/>
      <c r="E65" s="4"/>
      <c r="F65" s="6">
        <v>2</v>
      </c>
      <c r="G65" s="4" t="s">
        <v>209</v>
      </c>
      <c r="H65" s="4" t="s">
        <v>210</v>
      </c>
      <c r="I65" s="8" t="s">
        <v>180</v>
      </c>
      <c r="J65" s="5">
        <v>339.99</v>
      </c>
      <c r="K65" s="5">
        <v>0</v>
      </c>
      <c r="L65" s="5">
        <f t="shared" si="0"/>
        <v>0</v>
      </c>
    </row>
    <row r="66" spans="1:12" ht="15.6" x14ac:dyDescent="0.3">
      <c r="A66" s="4" t="s">
        <v>211</v>
      </c>
      <c r="B66" s="5">
        <v>899.99</v>
      </c>
      <c r="C66" s="5">
        <v>649.99</v>
      </c>
      <c r="D66" s="4"/>
      <c r="E66" s="4"/>
      <c r="F66" s="6">
        <v>3</v>
      </c>
      <c r="G66" s="4" t="s">
        <v>212</v>
      </c>
      <c r="H66" s="4" t="s">
        <v>213</v>
      </c>
      <c r="I66" s="8" t="s">
        <v>180</v>
      </c>
      <c r="J66" s="5">
        <v>649.99</v>
      </c>
      <c r="K66" s="5">
        <v>0</v>
      </c>
      <c r="L66" s="5">
        <f t="shared" si="0"/>
        <v>0</v>
      </c>
    </row>
    <row r="67" spans="1:12" ht="15.6" x14ac:dyDescent="0.3">
      <c r="A67" s="4" t="s">
        <v>214</v>
      </c>
      <c r="B67" s="5">
        <v>39.979999999999997</v>
      </c>
      <c r="C67" s="4"/>
      <c r="D67" s="4"/>
      <c r="E67" s="4"/>
      <c r="F67" s="6">
        <v>10</v>
      </c>
      <c r="G67" s="4" t="s">
        <v>215</v>
      </c>
      <c r="H67" s="4" t="s">
        <v>216</v>
      </c>
      <c r="I67" s="8" t="s">
        <v>180</v>
      </c>
      <c r="J67" s="5">
        <v>39.979999999999997</v>
      </c>
      <c r="K67" s="5">
        <v>0</v>
      </c>
      <c r="L67" s="5">
        <f t="shared" si="0"/>
        <v>0</v>
      </c>
    </row>
    <row r="68" spans="1:12" ht="15.6" x14ac:dyDescent="0.3">
      <c r="A68" s="4" t="s">
        <v>217</v>
      </c>
      <c r="B68" s="5">
        <v>49.98</v>
      </c>
      <c r="C68" s="4"/>
      <c r="D68" s="4"/>
      <c r="E68" s="4"/>
      <c r="F68" s="6">
        <v>10</v>
      </c>
      <c r="G68" s="4" t="s">
        <v>218</v>
      </c>
      <c r="H68" s="4" t="s">
        <v>219</v>
      </c>
      <c r="I68" s="8" t="s">
        <v>180</v>
      </c>
      <c r="J68" s="5">
        <v>49.98</v>
      </c>
      <c r="K68" s="5">
        <v>0</v>
      </c>
      <c r="L68" s="5">
        <f t="shared" si="0"/>
        <v>0</v>
      </c>
    </row>
    <row r="69" spans="1:12" ht="15.6" x14ac:dyDescent="0.3">
      <c r="A69" s="4" t="s">
        <v>220</v>
      </c>
      <c r="B69" s="5">
        <v>39.979999999999997</v>
      </c>
      <c r="C69" s="4"/>
      <c r="D69" s="4"/>
      <c r="E69" s="4"/>
      <c r="F69" s="6">
        <v>10</v>
      </c>
      <c r="G69" s="4" t="s">
        <v>221</v>
      </c>
      <c r="H69" s="4" t="s">
        <v>222</v>
      </c>
      <c r="I69" s="8" t="s">
        <v>180</v>
      </c>
      <c r="J69" s="5">
        <v>39.979999999999997</v>
      </c>
      <c r="K69" s="5">
        <v>0</v>
      </c>
      <c r="L69" s="5">
        <f t="shared" si="0"/>
        <v>0</v>
      </c>
    </row>
    <row r="70" spans="1:12" ht="15.6" x14ac:dyDescent="0.3">
      <c r="A70" s="4" t="s">
        <v>223</v>
      </c>
      <c r="B70" s="5">
        <v>519.98</v>
      </c>
      <c r="C70" s="4"/>
      <c r="D70" s="4"/>
      <c r="E70" s="4"/>
      <c r="F70" s="6">
        <v>1</v>
      </c>
      <c r="G70" s="4" t="s">
        <v>224</v>
      </c>
      <c r="H70" s="4" t="s">
        <v>225</v>
      </c>
      <c r="I70" s="8" t="s">
        <v>180</v>
      </c>
      <c r="J70" s="5">
        <v>519.98</v>
      </c>
      <c r="K70" s="5">
        <v>0</v>
      </c>
      <c r="L70" s="5">
        <f t="shared" si="0"/>
        <v>0</v>
      </c>
    </row>
    <row r="71" spans="1:12" ht="15.6" x14ac:dyDescent="0.3">
      <c r="A71" s="4" t="s">
        <v>226</v>
      </c>
      <c r="B71" s="5">
        <v>549.98</v>
      </c>
      <c r="C71" s="4"/>
      <c r="D71" s="4"/>
      <c r="E71" s="4"/>
      <c r="F71" s="6">
        <v>2</v>
      </c>
      <c r="G71" s="4" t="s">
        <v>227</v>
      </c>
      <c r="H71" s="4" t="s">
        <v>228</v>
      </c>
      <c r="I71" s="8" t="s">
        <v>180</v>
      </c>
      <c r="J71" s="5">
        <v>549.98</v>
      </c>
      <c r="K71" s="5">
        <v>0</v>
      </c>
      <c r="L71" s="5">
        <f t="shared" si="0"/>
        <v>0</v>
      </c>
    </row>
    <row r="72" spans="1:12" ht="15.6" x14ac:dyDescent="0.3">
      <c r="A72" s="4" t="s">
        <v>229</v>
      </c>
      <c r="B72" s="5">
        <v>799.98</v>
      </c>
      <c r="C72" s="5">
        <v>599.98</v>
      </c>
      <c r="D72" s="4"/>
      <c r="E72" s="4"/>
      <c r="F72" s="6">
        <v>5</v>
      </c>
      <c r="G72" s="4" t="s">
        <v>230</v>
      </c>
      <c r="H72" s="4" t="s">
        <v>231</v>
      </c>
      <c r="I72" s="8" t="s">
        <v>180</v>
      </c>
      <c r="J72" s="5">
        <v>599.98</v>
      </c>
      <c r="K72" s="5">
        <v>0</v>
      </c>
      <c r="L72" s="5">
        <f t="shared" si="0"/>
        <v>0</v>
      </c>
    </row>
    <row r="73" spans="1:12" ht="15.6" x14ac:dyDescent="0.3">
      <c r="A73" s="4" t="s">
        <v>232</v>
      </c>
      <c r="B73" s="5">
        <v>1099.98</v>
      </c>
      <c r="C73" s="5">
        <v>849.98</v>
      </c>
      <c r="D73" s="4"/>
      <c r="E73" s="4"/>
      <c r="F73" s="6">
        <v>5</v>
      </c>
      <c r="G73" s="4" t="s">
        <v>233</v>
      </c>
      <c r="H73" s="4" t="s">
        <v>234</v>
      </c>
      <c r="I73" s="8" t="s">
        <v>180</v>
      </c>
      <c r="J73" s="5">
        <v>849.98</v>
      </c>
      <c r="K73" s="5">
        <v>0</v>
      </c>
      <c r="L73" s="5">
        <f t="shared" si="0"/>
        <v>0</v>
      </c>
    </row>
    <row r="74" spans="1:12" ht="15.6" x14ac:dyDescent="0.3">
      <c r="A74" s="4" t="s">
        <v>235</v>
      </c>
      <c r="B74" s="5">
        <v>299.98</v>
      </c>
      <c r="C74" s="5">
        <v>149.97999999999999</v>
      </c>
      <c r="D74" s="4"/>
      <c r="E74" s="4"/>
      <c r="F74" s="6">
        <v>9</v>
      </c>
      <c r="G74" s="4" t="s">
        <v>236</v>
      </c>
      <c r="H74" s="4" t="s">
        <v>237</v>
      </c>
      <c r="I74" s="8" t="s">
        <v>180</v>
      </c>
      <c r="J74" s="5">
        <v>149.97999999999999</v>
      </c>
      <c r="K74" s="5">
        <v>0</v>
      </c>
      <c r="L74" s="5">
        <f t="shared" si="0"/>
        <v>0</v>
      </c>
    </row>
    <row r="75" spans="1:12" ht="15.6" x14ac:dyDescent="0.3">
      <c r="A75" s="4" t="s">
        <v>238</v>
      </c>
      <c r="B75" s="5">
        <v>799.99</v>
      </c>
      <c r="C75" s="5">
        <v>549.98</v>
      </c>
      <c r="D75" s="4"/>
      <c r="E75" s="4"/>
      <c r="F75" s="6">
        <v>4</v>
      </c>
      <c r="G75" s="4" t="s">
        <v>239</v>
      </c>
      <c r="H75" s="4" t="s">
        <v>240</v>
      </c>
      <c r="I75" s="8" t="s">
        <v>180</v>
      </c>
      <c r="J75" s="5">
        <v>549.98</v>
      </c>
      <c r="K75" s="5">
        <v>0</v>
      </c>
      <c r="L75" s="5">
        <f t="shared" si="0"/>
        <v>0</v>
      </c>
    </row>
    <row r="76" spans="1:12" ht="15.6" x14ac:dyDescent="0.3">
      <c r="A76" s="4" t="s">
        <v>241</v>
      </c>
      <c r="B76" s="5">
        <v>849.99</v>
      </c>
      <c r="C76" s="5">
        <v>349.98</v>
      </c>
      <c r="D76" s="4"/>
      <c r="E76" s="4"/>
      <c r="F76" s="6">
        <v>4</v>
      </c>
      <c r="G76" s="4" t="s">
        <v>242</v>
      </c>
      <c r="H76" s="4" t="s">
        <v>243</v>
      </c>
      <c r="I76" s="8" t="s">
        <v>180</v>
      </c>
      <c r="J76" s="5">
        <v>349.98</v>
      </c>
      <c r="K76" s="5">
        <v>0</v>
      </c>
      <c r="L76" s="5">
        <f t="shared" si="0"/>
        <v>0</v>
      </c>
    </row>
    <row r="77" spans="1:12" ht="15.6" x14ac:dyDescent="0.3">
      <c r="A77" s="4" t="s">
        <v>244</v>
      </c>
      <c r="B77" s="5">
        <v>499.98</v>
      </c>
      <c r="C77" s="5">
        <v>399.98</v>
      </c>
      <c r="D77" s="4"/>
      <c r="E77" s="4"/>
      <c r="F77" s="6">
        <v>5</v>
      </c>
      <c r="G77" s="4" t="s">
        <v>245</v>
      </c>
      <c r="H77" s="4" t="s">
        <v>246</v>
      </c>
      <c r="I77" s="8" t="s">
        <v>180</v>
      </c>
      <c r="J77" s="5">
        <v>399.98</v>
      </c>
      <c r="K77" s="5">
        <v>0</v>
      </c>
      <c r="L77" s="5">
        <f t="shared" si="0"/>
        <v>0</v>
      </c>
    </row>
    <row r="78" spans="1:12" ht="15.6" x14ac:dyDescent="0.3">
      <c r="A78" s="4" t="s">
        <v>247</v>
      </c>
      <c r="B78" s="5">
        <v>213.89</v>
      </c>
      <c r="C78" s="4"/>
      <c r="D78" s="4"/>
      <c r="E78" s="4"/>
      <c r="F78" s="6">
        <v>7</v>
      </c>
      <c r="G78" s="4" t="s">
        <v>248</v>
      </c>
      <c r="H78" s="4" t="s">
        <v>249</v>
      </c>
      <c r="I78" s="8" t="s">
        <v>180</v>
      </c>
      <c r="J78" s="5">
        <v>213.89</v>
      </c>
      <c r="K78" s="5">
        <v>0</v>
      </c>
      <c r="L78" s="5">
        <f t="shared" si="0"/>
        <v>0</v>
      </c>
    </row>
    <row r="79" spans="1:12" ht="15.6" x14ac:dyDescent="0.3">
      <c r="A79" s="4" t="s">
        <v>250</v>
      </c>
      <c r="B79" s="5">
        <v>899</v>
      </c>
      <c r="C79" s="5">
        <v>399.98</v>
      </c>
      <c r="D79" s="4"/>
      <c r="E79" s="4"/>
      <c r="F79" s="6">
        <v>9</v>
      </c>
      <c r="G79" s="4" t="s">
        <v>251</v>
      </c>
      <c r="H79" s="4" t="s">
        <v>252</v>
      </c>
      <c r="I79" s="8" t="s">
        <v>180</v>
      </c>
      <c r="J79" s="5">
        <v>399.98</v>
      </c>
      <c r="K79" s="5">
        <v>0</v>
      </c>
      <c r="L79" s="5">
        <f t="shared" si="0"/>
        <v>0</v>
      </c>
    </row>
    <row r="80" spans="1:12" ht="15.6" x14ac:dyDescent="0.3">
      <c r="A80" s="4" t="s">
        <v>253</v>
      </c>
      <c r="B80" s="5">
        <v>699.98</v>
      </c>
      <c r="C80" s="5">
        <v>349.98</v>
      </c>
      <c r="D80" s="4"/>
      <c r="E80" s="4"/>
      <c r="F80" s="6">
        <v>10</v>
      </c>
      <c r="G80" s="4" t="s">
        <v>254</v>
      </c>
      <c r="H80" s="4" t="s">
        <v>255</v>
      </c>
      <c r="I80" s="8" t="s">
        <v>180</v>
      </c>
      <c r="J80" s="5">
        <v>349.98</v>
      </c>
      <c r="K80" s="5">
        <v>0</v>
      </c>
      <c r="L80" s="5">
        <f t="shared" si="0"/>
        <v>0</v>
      </c>
    </row>
    <row r="81" spans="1:12" ht="15.6" x14ac:dyDescent="0.3">
      <c r="A81" s="4" t="s">
        <v>256</v>
      </c>
      <c r="B81" s="5">
        <v>699</v>
      </c>
      <c r="C81" s="5">
        <v>349.98</v>
      </c>
      <c r="D81" s="4"/>
      <c r="E81" s="4"/>
      <c r="F81" s="6">
        <v>8</v>
      </c>
      <c r="G81" s="4" t="s">
        <v>257</v>
      </c>
      <c r="H81" s="4" t="s">
        <v>258</v>
      </c>
      <c r="I81" s="8" t="s">
        <v>180</v>
      </c>
      <c r="J81" s="5">
        <v>349.98</v>
      </c>
      <c r="K81" s="5">
        <v>0</v>
      </c>
      <c r="L81" s="5">
        <f t="shared" si="0"/>
        <v>0</v>
      </c>
    </row>
    <row r="82" spans="1:12" ht="15.6" x14ac:dyDescent="0.3">
      <c r="A82" s="4" t="s">
        <v>259</v>
      </c>
      <c r="B82" s="5">
        <v>599</v>
      </c>
      <c r="C82" s="5">
        <v>199</v>
      </c>
      <c r="D82" s="4"/>
      <c r="E82" s="4"/>
      <c r="F82" s="6">
        <v>6</v>
      </c>
      <c r="G82" s="4" t="s">
        <v>260</v>
      </c>
      <c r="H82" s="4" t="s">
        <v>261</v>
      </c>
      <c r="I82" s="8" t="s">
        <v>180</v>
      </c>
      <c r="J82" s="5">
        <v>199</v>
      </c>
      <c r="K82" s="5">
        <v>0</v>
      </c>
      <c r="L82" s="5">
        <f t="shared" si="0"/>
        <v>0</v>
      </c>
    </row>
    <row r="83" spans="1:12" ht="15.6" x14ac:dyDescent="0.3">
      <c r="A83" s="4" t="s">
        <v>262</v>
      </c>
      <c r="B83" s="5">
        <v>199.98</v>
      </c>
      <c r="C83" s="5">
        <v>134.97999999999999</v>
      </c>
      <c r="D83" s="4"/>
      <c r="E83" s="4"/>
      <c r="F83" s="6">
        <v>50</v>
      </c>
      <c r="G83" s="4" t="s">
        <v>263</v>
      </c>
      <c r="H83" s="4" t="s">
        <v>264</v>
      </c>
      <c r="I83" s="8" t="s">
        <v>180</v>
      </c>
      <c r="J83" s="5">
        <v>134.97999999999999</v>
      </c>
      <c r="K83" s="5">
        <v>0</v>
      </c>
      <c r="L83" s="5">
        <f t="shared" si="0"/>
        <v>0</v>
      </c>
    </row>
    <row r="84" spans="1:12" ht="15.6" x14ac:dyDescent="0.3">
      <c r="A84" s="4" t="s">
        <v>265</v>
      </c>
      <c r="B84" s="5">
        <v>199.98</v>
      </c>
      <c r="C84" s="5">
        <v>99.98</v>
      </c>
      <c r="D84" s="4"/>
      <c r="E84" s="4"/>
      <c r="F84" s="6">
        <v>49</v>
      </c>
      <c r="G84" s="4" t="s">
        <v>266</v>
      </c>
      <c r="H84" s="4" t="s">
        <v>267</v>
      </c>
      <c r="I84" s="8" t="s">
        <v>180</v>
      </c>
      <c r="J84" s="5">
        <v>99.98</v>
      </c>
      <c r="K84" s="5">
        <v>0</v>
      </c>
      <c r="L84" s="5">
        <f t="shared" si="0"/>
        <v>0</v>
      </c>
    </row>
    <row r="85" spans="1:12" ht="15.6" x14ac:dyDescent="0.3">
      <c r="A85" s="4" t="s">
        <v>268</v>
      </c>
      <c r="B85" s="5">
        <v>399.99</v>
      </c>
      <c r="C85" s="4"/>
      <c r="D85" s="4"/>
      <c r="E85" s="4"/>
      <c r="F85" s="6">
        <v>19</v>
      </c>
      <c r="G85" s="4" t="s">
        <v>269</v>
      </c>
      <c r="H85" s="4" t="s">
        <v>270</v>
      </c>
      <c r="I85" s="8" t="s">
        <v>180</v>
      </c>
      <c r="J85" s="5">
        <v>399.99</v>
      </c>
      <c r="K85" s="5">
        <v>0</v>
      </c>
      <c r="L85" s="5">
        <f t="shared" si="0"/>
        <v>0</v>
      </c>
    </row>
    <row r="86" spans="1:12" ht="15.6" x14ac:dyDescent="0.3">
      <c r="A86" s="4" t="s">
        <v>271</v>
      </c>
      <c r="B86" s="5">
        <v>399.99</v>
      </c>
      <c r="C86" s="4"/>
      <c r="D86" s="4"/>
      <c r="E86" s="4"/>
      <c r="F86" s="6">
        <v>1</v>
      </c>
      <c r="G86" s="4" t="s">
        <v>272</v>
      </c>
      <c r="H86" s="4" t="s">
        <v>273</v>
      </c>
      <c r="I86" s="8" t="s">
        <v>180</v>
      </c>
      <c r="J86" s="5">
        <v>399.99</v>
      </c>
      <c r="K86" s="5">
        <v>0</v>
      </c>
      <c r="L86" s="5">
        <f t="shared" si="0"/>
        <v>0</v>
      </c>
    </row>
    <row r="87" spans="1:12" ht="15.6" x14ac:dyDescent="0.3">
      <c r="A87" s="4" t="s">
        <v>274</v>
      </c>
      <c r="B87" s="5">
        <v>439.98</v>
      </c>
      <c r="C87" s="4"/>
      <c r="D87" s="4"/>
      <c r="E87" s="4"/>
      <c r="F87" s="6">
        <v>6</v>
      </c>
      <c r="G87" s="4" t="s">
        <v>275</v>
      </c>
      <c r="H87" s="4" t="s">
        <v>276</v>
      </c>
      <c r="I87" s="8" t="s">
        <v>180</v>
      </c>
      <c r="J87" s="5">
        <v>439.98</v>
      </c>
      <c r="K87" s="5">
        <v>0</v>
      </c>
      <c r="L87" s="5">
        <f t="shared" si="0"/>
        <v>0</v>
      </c>
    </row>
    <row r="88" spans="1:12" ht="15.6" x14ac:dyDescent="0.3">
      <c r="A88" s="4" t="s">
        <v>277</v>
      </c>
      <c r="B88" s="5">
        <v>1899.99</v>
      </c>
      <c r="C88" s="5">
        <v>1399.99</v>
      </c>
      <c r="D88" s="4"/>
      <c r="E88" s="4"/>
      <c r="F88" s="6">
        <v>1</v>
      </c>
      <c r="G88" s="4" t="s">
        <v>278</v>
      </c>
      <c r="H88" s="4" t="s">
        <v>279</v>
      </c>
      <c r="I88" s="8" t="s">
        <v>180</v>
      </c>
      <c r="J88" s="5">
        <v>1399.99</v>
      </c>
      <c r="K88" s="5">
        <v>0</v>
      </c>
      <c r="L88" s="5">
        <f t="shared" si="0"/>
        <v>0</v>
      </c>
    </row>
    <row r="89" spans="1:12" ht="15.6" x14ac:dyDescent="0.3">
      <c r="A89" s="4" t="s">
        <v>280</v>
      </c>
      <c r="B89" s="5">
        <v>1799.98</v>
      </c>
      <c r="C89" s="5">
        <v>1399.99</v>
      </c>
      <c r="D89" s="4"/>
      <c r="E89" s="4"/>
      <c r="F89" s="6">
        <v>1</v>
      </c>
      <c r="G89" s="4" t="s">
        <v>281</v>
      </c>
      <c r="H89" s="4" t="s">
        <v>282</v>
      </c>
      <c r="I89" s="8" t="s">
        <v>180</v>
      </c>
      <c r="J89" s="5">
        <v>1399.99</v>
      </c>
      <c r="K89" s="5">
        <v>0</v>
      </c>
      <c r="L89" s="5">
        <f t="shared" si="0"/>
        <v>0</v>
      </c>
    </row>
    <row r="90" spans="1:12" ht="15.6" x14ac:dyDescent="0.3">
      <c r="A90" s="4" t="s">
        <v>283</v>
      </c>
      <c r="B90" s="5">
        <v>814.99</v>
      </c>
      <c r="C90" s="4"/>
      <c r="D90" s="4"/>
      <c r="E90" s="4"/>
      <c r="F90" s="6">
        <v>5</v>
      </c>
      <c r="G90" s="4" t="s">
        <v>284</v>
      </c>
      <c r="H90" s="4" t="s">
        <v>285</v>
      </c>
      <c r="I90" s="8" t="s">
        <v>180</v>
      </c>
      <c r="J90" s="5">
        <v>814.99</v>
      </c>
      <c r="K90" s="5">
        <v>0</v>
      </c>
      <c r="L90" s="5">
        <f t="shared" si="0"/>
        <v>0</v>
      </c>
    </row>
    <row r="91" spans="1:12" ht="15.6" x14ac:dyDescent="0.3">
      <c r="A91" s="4" t="s">
        <v>286</v>
      </c>
      <c r="B91" s="5">
        <v>644.98</v>
      </c>
      <c r="C91" s="4"/>
      <c r="D91" s="4"/>
      <c r="E91" s="4"/>
      <c r="F91" s="6">
        <v>1</v>
      </c>
      <c r="G91" s="4" t="s">
        <v>287</v>
      </c>
      <c r="H91" s="4" t="s">
        <v>288</v>
      </c>
      <c r="I91" s="8" t="s">
        <v>180</v>
      </c>
      <c r="J91" s="5">
        <v>644.98</v>
      </c>
      <c r="K91" s="5">
        <v>0</v>
      </c>
      <c r="L91" s="5">
        <f t="shared" si="0"/>
        <v>0</v>
      </c>
    </row>
    <row r="92" spans="1:12" ht="15.6" x14ac:dyDescent="0.3">
      <c r="A92" s="4" t="s">
        <v>289</v>
      </c>
      <c r="B92" s="5">
        <v>799.99</v>
      </c>
      <c r="C92" s="5">
        <v>569.99</v>
      </c>
      <c r="D92" s="4"/>
      <c r="E92" s="4"/>
      <c r="F92" s="6">
        <v>1</v>
      </c>
      <c r="G92" s="4" t="s">
        <v>290</v>
      </c>
      <c r="H92" s="4" t="s">
        <v>291</v>
      </c>
      <c r="I92" s="8" t="s">
        <v>180</v>
      </c>
      <c r="J92" s="5">
        <v>569.99</v>
      </c>
      <c r="K92" s="5">
        <v>0</v>
      </c>
      <c r="L92" s="5">
        <f t="shared" si="0"/>
        <v>0</v>
      </c>
    </row>
    <row r="93" spans="1:12" ht="15.6" x14ac:dyDescent="0.3">
      <c r="A93" s="4" t="s">
        <v>292</v>
      </c>
      <c r="B93" s="5">
        <v>999</v>
      </c>
      <c r="C93" s="5">
        <v>649.99</v>
      </c>
      <c r="D93" s="4"/>
      <c r="E93" s="4"/>
      <c r="F93" s="6">
        <v>1</v>
      </c>
      <c r="G93" s="4" t="s">
        <v>293</v>
      </c>
      <c r="H93" s="4" t="s">
        <v>294</v>
      </c>
      <c r="I93" s="8" t="s">
        <v>180</v>
      </c>
      <c r="J93" s="5">
        <v>649.99</v>
      </c>
      <c r="K93" s="5">
        <v>0</v>
      </c>
      <c r="L93" s="5">
        <f t="shared" si="0"/>
        <v>0</v>
      </c>
    </row>
    <row r="94" spans="1:12" ht="15.6" x14ac:dyDescent="0.3">
      <c r="A94" s="4" t="s">
        <v>295</v>
      </c>
      <c r="B94" s="5">
        <v>399.99</v>
      </c>
      <c r="C94" s="4"/>
      <c r="D94" s="4"/>
      <c r="E94" s="4"/>
      <c r="F94" s="6">
        <v>8</v>
      </c>
      <c r="G94" s="4" t="s">
        <v>296</v>
      </c>
      <c r="H94" s="4" t="s">
        <v>297</v>
      </c>
      <c r="I94" s="8" t="s">
        <v>180</v>
      </c>
      <c r="J94" s="5">
        <v>399.99</v>
      </c>
      <c r="K94" s="5">
        <v>0</v>
      </c>
      <c r="L94" s="5">
        <f t="shared" si="0"/>
        <v>0</v>
      </c>
    </row>
    <row r="95" spans="1:12" ht="15.6" x14ac:dyDescent="0.3">
      <c r="A95" s="4" t="s">
        <v>298</v>
      </c>
      <c r="B95" s="5">
        <v>699</v>
      </c>
      <c r="C95" s="5">
        <v>449.99</v>
      </c>
      <c r="D95" s="4"/>
      <c r="E95" s="4"/>
      <c r="F95" s="6">
        <v>12</v>
      </c>
      <c r="G95" s="4" t="s">
        <v>299</v>
      </c>
      <c r="H95" s="4" t="s">
        <v>300</v>
      </c>
      <c r="I95" s="8" t="s">
        <v>180</v>
      </c>
      <c r="J95" s="5">
        <v>449.99</v>
      </c>
      <c r="K95" s="5">
        <v>0</v>
      </c>
      <c r="L95" s="5">
        <f t="shared" si="0"/>
        <v>0</v>
      </c>
    </row>
    <row r="96" spans="1:12" ht="15.6" x14ac:dyDescent="0.3">
      <c r="A96" s="4" t="s">
        <v>301</v>
      </c>
      <c r="B96" s="5">
        <v>899.99</v>
      </c>
      <c r="C96" s="5">
        <v>619.94000000000005</v>
      </c>
      <c r="D96" s="4"/>
      <c r="E96" s="4"/>
      <c r="F96" s="6">
        <v>1</v>
      </c>
      <c r="G96" s="4" t="s">
        <v>302</v>
      </c>
      <c r="H96" s="4" t="s">
        <v>303</v>
      </c>
      <c r="I96" s="8" t="s">
        <v>180</v>
      </c>
      <c r="J96" s="5">
        <v>619.94000000000005</v>
      </c>
      <c r="K96" s="5">
        <v>0</v>
      </c>
      <c r="L96" s="5">
        <f t="shared" si="0"/>
        <v>0</v>
      </c>
    </row>
    <row r="97" spans="1:12" ht="15.6" x14ac:dyDescent="0.3">
      <c r="A97" s="4" t="s">
        <v>304</v>
      </c>
      <c r="B97" s="5">
        <v>254.99</v>
      </c>
      <c r="C97" s="4"/>
      <c r="D97" s="4"/>
      <c r="E97" s="4"/>
      <c r="F97" s="6">
        <v>12</v>
      </c>
      <c r="G97" s="4" t="s">
        <v>305</v>
      </c>
      <c r="H97" s="4" t="s">
        <v>306</v>
      </c>
      <c r="I97" s="8" t="s">
        <v>180</v>
      </c>
      <c r="J97" s="5">
        <v>254.99</v>
      </c>
      <c r="K97" s="5">
        <v>0</v>
      </c>
      <c r="L97" s="5">
        <f t="shared" si="0"/>
        <v>0</v>
      </c>
    </row>
    <row r="98" spans="1:12" ht="15.6" x14ac:dyDescent="0.3">
      <c r="A98" s="4" t="s">
        <v>307</v>
      </c>
      <c r="B98" s="5">
        <v>899.99</v>
      </c>
      <c r="C98" s="5">
        <v>619.99</v>
      </c>
      <c r="D98" s="4"/>
      <c r="E98" s="4"/>
      <c r="F98" s="6">
        <v>8</v>
      </c>
      <c r="G98" s="4" t="s">
        <v>308</v>
      </c>
      <c r="H98" s="4" t="s">
        <v>309</v>
      </c>
      <c r="I98" s="8" t="s">
        <v>180</v>
      </c>
      <c r="J98" s="5">
        <v>619.99</v>
      </c>
      <c r="K98" s="5">
        <v>0</v>
      </c>
      <c r="L98" s="5">
        <f t="shared" si="0"/>
        <v>0</v>
      </c>
    </row>
    <row r="99" spans="1:12" ht="15.6" x14ac:dyDescent="0.3">
      <c r="A99" s="4" t="s">
        <v>310</v>
      </c>
      <c r="B99" s="5">
        <v>519.99</v>
      </c>
      <c r="C99" s="4"/>
      <c r="D99" s="4"/>
      <c r="E99" s="4"/>
      <c r="F99" s="6">
        <v>1</v>
      </c>
      <c r="G99" s="4" t="s">
        <v>311</v>
      </c>
      <c r="H99" s="4" t="s">
        <v>312</v>
      </c>
      <c r="I99" s="8" t="s">
        <v>180</v>
      </c>
      <c r="J99" s="5">
        <v>519.99</v>
      </c>
      <c r="K99" s="5">
        <v>0</v>
      </c>
      <c r="L99" s="5">
        <f t="shared" si="0"/>
        <v>0</v>
      </c>
    </row>
    <row r="100" spans="1:12" ht="15.6" x14ac:dyDescent="0.3">
      <c r="A100" s="4" t="s">
        <v>313</v>
      </c>
      <c r="B100" s="5">
        <v>799</v>
      </c>
      <c r="C100" s="5">
        <v>539.99</v>
      </c>
      <c r="D100" s="4"/>
      <c r="E100" s="4"/>
      <c r="F100" s="6">
        <v>1</v>
      </c>
      <c r="G100" s="4" t="s">
        <v>314</v>
      </c>
      <c r="H100" s="4" t="s">
        <v>315</v>
      </c>
      <c r="I100" s="8" t="s">
        <v>180</v>
      </c>
      <c r="J100" s="5">
        <v>539.99</v>
      </c>
      <c r="K100" s="5">
        <v>0</v>
      </c>
      <c r="L100" s="5">
        <f t="shared" si="0"/>
        <v>0</v>
      </c>
    </row>
    <row r="101" spans="1:12" ht="15.6" x14ac:dyDescent="0.3">
      <c r="A101" s="4" t="s">
        <v>316</v>
      </c>
      <c r="B101" s="5">
        <v>624.99</v>
      </c>
      <c r="C101" s="4"/>
      <c r="D101" s="4"/>
      <c r="E101" s="4"/>
      <c r="F101" s="6">
        <v>1</v>
      </c>
      <c r="G101" s="4" t="s">
        <v>317</v>
      </c>
      <c r="H101" s="4" t="s">
        <v>318</v>
      </c>
      <c r="I101" s="8" t="s">
        <v>180</v>
      </c>
      <c r="J101" s="5">
        <v>624.99</v>
      </c>
      <c r="K101" s="5">
        <v>0</v>
      </c>
      <c r="L101" s="5">
        <f t="shared" si="0"/>
        <v>0</v>
      </c>
    </row>
    <row r="102" spans="1:12" ht="15.6" x14ac:dyDescent="0.3">
      <c r="A102" s="4" t="s">
        <v>319</v>
      </c>
      <c r="B102" s="5">
        <v>799.99</v>
      </c>
      <c r="C102" s="4"/>
      <c r="D102" s="4"/>
      <c r="E102" s="4"/>
      <c r="F102" s="6">
        <v>1</v>
      </c>
      <c r="G102" s="4" t="s">
        <v>320</v>
      </c>
      <c r="H102" s="4" t="s">
        <v>321</v>
      </c>
      <c r="I102" s="8" t="s">
        <v>180</v>
      </c>
      <c r="J102" s="5">
        <v>799.99</v>
      </c>
      <c r="K102" s="5">
        <v>0</v>
      </c>
      <c r="L102" s="5">
        <f t="shared" si="0"/>
        <v>0</v>
      </c>
    </row>
    <row r="103" spans="1:12" ht="15.6" x14ac:dyDescent="0.3">
      <c r="A103" s="4" t="s">
        <v>322</v>
      </c>
      <c r="B103" s="5">
        <v>1299.99</v>
      </c>
      <c r="C103" s="5">
        <v>979.99</v>
      </c>
      <c r="D103" s="4"/>
      <c r="E103" s="4"/>
      <c r="F103" s="6">
        <v>1</v>
      </c>
      <c r="G103" s="4" t="s">
        <v>323</v>
      </c>
      <c r="H103" s="4" t="s">
        <v>324</v>
      </c>
      <c r="I103" s="8" t="s">
        <v>180</v>
      </c>
      <c r="J103" s="5">
        <v>979.99</v>
      </c>
      <c r="K103" s="5">
        <v>0</v>
      </c>
      <c r="L103" s="5">
        <f t="shared" si="0"/>
        <v>0</v>
      </c>
    </row>
    <row r="104" spans="1:12" ht="15.6" x14ac:dyDescent="0.3">
      <c r="A104" s="4" t="s">
        <v>325</v>
      </c>
      <c r="B104" s="5">
        <v>999.99</v>
      </c>
      <c r="C104" s="5">
        <v>709.99</v>
      </c>
      <c r="D104" s="4"/>
      <c r="E104" s="4"/>
      <c r="F104" s="6">
        <v>5</v>
      </c>
      <c r="G104" s="4" t="s">
        <v>326</v>
      </c>
      <c r="H104" s="4" t="s">
        <v>327</v>
      </c>
      <c r="I104" s="8" t="s">
        <v>180</v>
      </c>
      <c r="J104" s="5">
        <v>709.99</v>
      </c>
      <c r="K104" s="5">
        <v>0</v>
      </c>
      <c r="L104" s="5">
        <f t="shared" si="0"/>
        <v>0</v>
      </c>
    </row>
    <row r="105" spans="1:12" ht="15.6" x14ac:dyDescent="0.3">
      <c r="A105" s="4" t="s">
        <v>328</v>
      </c>
      <c r="B105" s="5">
        <v>999.99</v>
      </c>
      <c r="C105" s="5">
        <v>699.99</v>
      </c>
      <c r="D105" s="4"/>
      <c r="E105" s="4"/>
      <c r="F105" s="6">
        <v>1</v>
      </c>
      <c r="G105" s="4" t="s">
        <v>329</v>
      </c>
      <c r="H105" s="4" t="s">
        <v>330</v>
      </c>
      <c r="I105" s="8" t="s">
        <v>180</v>
      </c>
      <c r="J105" s="5">
        <v>699.99</v>
      </c>
      <c r="K105" s="5">
        <v>0</v>
      </c>
      <c r="L105" s="5">
        <f t="shared" si="0"/>
        <v>0</v>
      </c>
    </row>
    <row r="106" spans="1:12" ht="15.6" x14ac:dyDescent="0.3">
      <c r="A106" s="4" t="s">
        <v>331</v>
      </c>
      <c r="B106" s="5">
        <v>999</v>
      </c>
      <c r="C106" s="5">
        <v>724.99</v>
      </c>
      <c r="D106" s="4"/>
      <c r="E106" s="4"/>
      <c r="F106" s="6">
        <v>10</v>
      </c>
      <c r="G106" s="4" t="s">
        <v>332</v>
      </c>
      <c r="H106" s="4" t="s">
        <v>333</v>
      </c>
      <c r="I106" s="8" t="s">
        <v>180</v>
      </c>
      <c r="J106" s="5">
        <v>724.99</v>
      </c>
      <c r="K106" s="5">
        <v>0</v>
      </c>
      <c r="L106" s="5">
        <f t="shared" si="0"/>
        <v>0</v>
      </c>
    </row>
    <row r="107" spans="1:12" ht="15.6" x14ac:dyDescent="0.3">
      <c r="A107" s="4" t="s">
        <v>334</v>
      </c>
      <c r="B107" s="5">
        <v>199</v>
      </c>
      <c r="C107" s="5">
        <v>144</v>
      </c>
      <c r="D107" s="4"/>
      <c r="E107" s="4"/>
      <c r="F107" s="6">
        <v>91</v>
      </c>
      <c r="G107" s="4" t="s">
        <v>335</v>
      </c>
      <c r="H107" s="4" t="s">
        <v>336</v>
      </c>
      <c r="I107" s="8" t="s">
        <v>180</v>
      </c>
      <c r="J107" s="5">
        <v>144</v>
      </c>
      <c r="K107" s="5">
        <v>0</v>
      </c>
      <c r="L107" s="5">
        <f t="shared" si="0"/>
        <v>0</v>
      </c>
    </row>
    <row r="108" spans="1:12" ht="15.6" x14ac:dyDescent="0.3">
      <c r="A108" s="4" t="s">
        <v>337</v>
      </c>
      <c r="B108" s="5">
        <v>199</v>
      </c>
      <c r="C108" s="5">
        <v>149</v>
      </c>
      <c r="D108" s="4"/>
      <c r="E108" s="4"/>
      <c r="F108" s="6">
        <v>20</v>
      </c>
      <c r="G108" s="4" t="s">
        <v>338</v>
      </c>
      <c r="H108" s="4" t="s">
        <v>339</v>
      </c>
      <c r="I108" s="8" t="s">
        <v>180</v>
      </c>
      <c r="J108" s="5">
        <v>149</v>
      </c>
      <c r="K108" s="5">
        <v>0</v>
      </c>
      <c r="L108" s="5">
        <f t="shared" si="0"/>
        <v>0</v>
      </c>
    </row>
    <row r="109" spans="1:12" ht="15.6" x14ac:dyDescent="0.3">
      <c r="A109" s="4" t="s">
        <v>340</v>
      </c>
      <c r="B109" s="5">
        <v>549.99</v>
      </c>
      <c r="C109" s="5">
        <v>414.99</v>
      </c>
      <c r="D109" s="4"/>
      <c r="E109" s="4"/>
      <c r="F109" s="6">
        <v>1</v>
      </c>
      <c r="G109" s="4" t="s">
        <v>341</v>
      </c>
      <c r="H109" s="4" t="s">
        <v>342</v>
      </c>
      <c r="I109" s="8" t="s">
        <v>180</v>
      </c>
      <c r="J109" s="5">
        <v>414.99</v>
      </c>
      <c r="K109" s="5">
        <v>0</v>
      </c>
      <c r="L109" s="5">
        <f t="shared" si="0"/>
        <v>0</v>
      </c>
    </row>
    <row r="110" spans="1:12" ht="15.6" x14ac:dyDescent="0.3">
      <c r="A110" s="4" t="s">
        <v>343</v>
      </c>
      <c r="B110" s="5">
        <v>149.99</v>
      </c>
      <c r="C110" s="5">
        <v>89.99</v>
      </c>
      <c r="D110" s="4"/>
      <c r="E110" s="4"/>
      <c r="F110" s="6">
        <v>20</v>
      </c>
      <c r="G110" s="4" t="s">
        <v>344</v>
      </c>
      <c r="H110" s="4" t="s">
        <v>345</v>
      </c>
      <c r="I110" s="8" t="s">
        <v>180</v>
      </c>
      <c r="J110" s="5">
        <v>89.99</v>
      </c>
      <c r="K110" s="5">
        <v>0</v>
      </c>
      <c r="L110" s="5">
        <f t="shared" si="0"/>
        <v>0</v>
      </c>
    </row>
    <row r="111" spans="1:12" ht="15.6" x14ac:dyDescent="0.3">
      <c r="A111" s="4" t="s">
        <v>346</v>
      </c>
      <c r="B111" s="5">
        <v>799.99</v>
      </c>
      <c r="C111" s="5">
        <v>599.99</v>
      </c>
      <c r="D111" s="4"/>
      <c r="E111" s="4"/>
      <c r="F111" s="6">
        <v>1</v>
      </c>
      <c r="G111" s="4" t="s">
        <v>347</v>
      </c>
      <c r="H111" s="4" t="s">
        <v>348</v>
      </c>
      <c r="I111" s="8" t="s">
        <v>180</v>
      </c>
      <c r="J111" s="5">
        <v>599.99</v>
      </c>
      <c r="K111" s="5">
        <v>0</v>
      </c>
      <c r="L111" s="5">
        <f t="shared" si="0"/>
        <v>0</v>
      </c>
    </row>
    <row r="112" spans="1:12" ht="15.6" x14ac:dyDescent="0.3">
      <c r="A112" s="4" t="s">
        <v>349</v>
      </c>
      <c r="B112" s="5">
        <v>999.99</v>
      </c>
      <c r="C112" s="5">
        <v>699.99</v>
      </c>
      <c r="D112" s="4"/>
      <c r="E112" s="4"/>
      <c r="F112" s="6">
        <v>9</v>
      </c>
      <c r="G112" s="4" t="s">
        <v>350</v>
      </c>
      <c r="H112" s="4" t="s">
        <v>351</v>
      </c>
      <c r="I112" s="8" t="s">
        <v>180</v>
      </c>
      <c r="J112" s="5">
        <v>699.99</v>
      </c>
      <c r="K112" s="5">
        <v>0</v>
      </c>
      <c r="L112" s="5">
        <f t="shared" si="0"/>
        <v>0</v>
      </c>
    </row>
    <row r="113" spans="1:12" ht="15.6" x14ac:dyDescent="0.3">
      <c r="A113" s="4" t="s">
        <v>352</v>
      </c>
      <c r="B113" s="5">
        <v>899.99</v>
      </c>
      <c r="C113" s="5">
        <v>699.99</v>
      </c>
      <c r="D113" s="4"/>
      <c r="E113" s="4"/>
      <c r="F113" s="6">
        <v>1</v>
      </c>
      <c r="G113" s="4" t="s">
        <v>353</v>
      </c>
      <c r="H113" s="4" t="s">
        <v>354</v>
      </c>
      <c r="I113" s="8" t="s">
        <v>180</v>
      </c>
      <c r="J113" s="5">
        <v>699.99</v>
      </c>
      <c r="K113" s="5">
        <v>0</v>
      </c>
      <c r="L113" s="5">
        <f t="shared" si="0"/>
        <v>0</v>
      </c>
    </row>
    <row r="114" spans="1:12" ht="15.6" x14ac:dyDescent="0.3">
      <c r="A114" s="4" t="s">
        <v>355</v>
      </c>
      <c r="B114" s="5">
        <v>189.99</v>
      </c>
      <c r="C114" s="5">
        <v>99.99</v>
      </c>
      <c r="D114" s="4"/>
      <c r="E114" s="4"/>
      <c r="F114" s="6">
        <v>5</v>
      </c>
      <c r="G114" s="4" t="s">
        <v>356</v>
      </c>
      <c r="H114" s="4" t="s">
        <v>357</v>
      </c>
      <c r="I114" s="8" t="s">
        <v>180</v>
      </c>
      <c r="J114" s="5">
        <v>99.99</v>
      </c>
      <c r="K114" s="5">
        <v>0</v>
      </c>
      <c r="L114" s="5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"/>
  <sheetViews>
    <sheetView workbookViewId="0"/>
  </sheetViews>
  <sheetFormatPr defaultColWidth="12.6640625" defaultRowHeight="15.75" customHeight="1" x14ac:dyDescent="0.25"/>
  <sheetData>
    <row r="1" spans="1:10" x14ac:dyDescent="0.25">
      <c r="A1" s="9" t="s">
        <v>358</v>
      </c>
      <c r="B1" s="9" t="s">
        <v>360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361</v>
      </c>
      <c r="I1" s="9" t="s">
        <v>359</v>
      </c>
      <c r="J1" s="9" t="s">
        <v>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1"/>
  <sheetViews>
    <sheetView workbookViewId="0"/>
  </sheetViews>
  <sheetFormatPr defaultColWidth="12.6640625" defaultRowHeight="15.75" customHeight="1" x14ac:dyDescent="0.25"/>
  <sheetData>
    <row r="1" spans="1: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4"/>
  <sheetViews>
    <sheetView workbookViewId="0"/>
  </sheetViews>
  <sheetFormatPr defaultColWidth="12.6640625" defaultRowHeight="15.75" customHeight="1" x14ac:dyDescent="0.25"/>
  <cols>
    <col min="1" max="1" width="19.77734375" customWidth="1"/>
    <col min="2" max="2" width="71.33203125" customWidth="1"/>
    <col min="3" max="3" width="19.77734375" customWidth="1"/>
  </cols>
  <sheetData>
    <row r="1" spans="1:2" x14ac:dyDescent="0.25">
      <c r="A1" s="1" t="s">
        <v>363</v>
      </c>
      <c r="B1" s="1" t="s">
        <v>364</v>
      </c>
    </row>
    <row r="2" spans="1:2" x14ac:dyDescent="0.25">
      <c r="A2" s="1" t="s">
        <v>365</v>
      </c>
      <c r="B2" s="1">
        <v>20250612</v>
      </c>
    </row>
    <row r="3" spans="1:2" x14ac:dyDescent="0.25">
      <c r="A3" s="1" t="s">
        <v>366</v>
      </c>
      <c r="B3" s="1">
        <v>1</v>
      </c>
    </row>
    <row r="4" spans="1:2" x14ac:dyDescent="0.25">
      <c r="A4" s="1" t="s">
        <v>367</v>
      </c>
      <c r="B4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1"/>
  <sheetViews>
    <sheetView workbookViewId="0"/>
  </sheetViews>
  <sheetFormatPr defaultColWidth="12.6640625" defaultRowHeight="15.75" customHeight="1" x14ac:dyDescent="0.25"/>
  <cols>
    <col min="4" max="4" width="29.88671875" customWidth="1"/>
  </cols>
  <sheetData>
    <row r="1" spans="1:4" x14ac:dyDescent="0.25">
      <c r="A1" s="9" t="s">
        <v>368</v>
      </c>
      <c r="B1" s="9" t="s">
        <v>369</v>
      </c>
      <c r="C1" s="9" t="s">
        <v>370</v>
      </c>
      <c r="D1" s="9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WINNING_RAW</vt:lpstr>
      <vt:lpstr>SOLD</vt:lpstr>
      <vt:lpstr>SKU_MAPPING</vt:lpstr>
      <vt:lpstr>SETTINGS</vt:lpstr>
      <vt:lpstr>MANIFEST_LOG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Sheraz Mehfooz</dc:creator>
  <cp:lastModifiedBy>Sheraz Mehfooz</cp:lastModifiedBy>
  <dcterms:created xsi:type="dcterms:W3CDTF">2025-09-24T06:37:46Z</dcterms:created>
  <dcterms:modified xsi:type="dcterms:W3CDTF">2025-09-25T06:19:55Z</dcterms:modified>
</cp:coreProperties>
</file>